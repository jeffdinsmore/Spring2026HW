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Ian\Power System Planning\Assignments\Homework\HW3 - MSG\"/>
    </mc:Choice>
  </mc:AlternateContent>
  <xr:revisionPtr revIDLastSave="0" documentId="13_ncr:1_{8EFDCBFB-9527-4DEB-9FC4-BE199B8F4994}" xr6:coauthVersionLast="47" xr6:coauthVersionMax="47" xr10:uidLastSave="{00000000-0000-0000-0000-000000000000}"/>
  <bookViews>
    <workbookView xWindow="-120" yWindow="-120" windowWidth="29040" windowHeight="17520" tabRatio="819" xr2:uid="{00000000-000D-0000-FFFF-FFFF00000000}"/>
  </bookViews>
  <sheets>
    <sheet name="Portfolios" sheetId="1" r:id="rId1"/>
    <sheet name="Locations" sheetId="22" r:id="rId2"/>
    <sheet name="System Load" sheetId="6" r:id="rId3"/>
    <sheet name="Bids" sheetId="4" r:id="rId4"/>
    <sheet name="Renewable Dispatch" sheetId="2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" i="24" l="1"/>
  <c r="P6" i="24"/>
  <c r="Q6" i="24"/>
  <c r="R6" i="24"/>
  <c r="O7" i="24"/>
  <c r="P7" i="24"/>
  <c r="Q7" i="24"/>
  <c r="R7" i="24"/>
  <c r="O8" i="24"/>
  <c r="P8" i="24"/>
  <c r="Q8" i="24"/>
  <c r="R8" i="24"/>
  <c r="O9" i="24"/>
  <c r="P9" i="24"/>
  <c r="Q9" i="24"/>
  <c r="R9" i="24"/>
  <c r="O10" i="24"/>
  <c r="P10" i="24"/>
  <c r="Q10" i="24"/>
  <c r="R10" i="24"/>
  <c r="O11" i="24"/>
  <c r="P11" i="24"/>
  <c r="Q11" i="24"/>
  <c r="R11" i="24"/>
  <c r="O12" i="24"/>
  <c r="P12" i="24"/>
  <c r="Q12" i="24"/>
  <c r="R12" i="24"/>
  <c r="O13" i="24"/>
  <c r="P13" i="24"/>
  <c r="Q13" i="24"/>
  <c r="R13" i="24"/>
  <c r="O14" i="24"/>
  <c r="P14" i="24"/>
  <c r="Q14" i="24"/>
  <c r="R14" i="24"/>
  <c r="O15" i="24"/>
  <c r="P15" i="24"/>
  <c r="Q15" i="24"/>
  <c r="R15" i="24"/>
  <c r="O16" i="24"/>
  <c r="P16" i="24"/>
  <c r="Q16" i="24"/>
  <c r="R16" i="24"/>
  <c r="O17" i="24"/>
  <c r="P17" i="24"/>
  <c r="Q17" i="24"/>
  <c r="R17" i="24"/>
  <c r="O18" i="24"/>
  <c r="P18" i="24"/>
  <c r="Q18" i="24"/>
  <c r="R18" i="24"/>
  <c r="O19" i="24"/>
  <c r="P19" i="24"/>
  <c r="Q19" i="24"/>
  <c r="R19" i="24"/>
  <c r="O20" i="24"/>
  <c r="P20" i="24"/>
  <c r="Q20" i="24"/>
  <c r="R20" i="24"/>
  <c r="O21" i="24"/>
  <c r="P21" i="24"/>
  <c r="Q21" i="24"/>
  <c r="R21" i="24"/>
  <c r="O22" i="24"/>
  <c r="P22" i="24"/>
  <c r="Q22" i="24"/>
  <c r="R22" i="24"/>
  <c r="O23" i="24"/>
  <c r="P23" i="24"/>
  <c r="Q23" i="24"/>
  <c r="R23" i="24"/>
  <c r="O24" i="24"/>
  <c r="P24" i="24"/>
  <c r="Q24" i="24"/>
  <c r="R24" i="24"/>
  <c r="O25" i="24"/>
  <c r="P25" i="24"/>
  <c r="Q25" i="24"/>
  <c r="R25" i="24"/>
  <c r="O26" i="24"/>
  <c r="P26" i="24"/>
  <c r="Q26" i="24"/>
  <c r="R26" i="24"/>
  <c r="O27" i="24"/>
  <c r="P27" i="24"/>
  <c r="Q27" i="24"/>
  <c r="R27" i="24"/>
  <c r="O28" i="24"/>
  <c r="P28" i="24"/>
  <c r="Q28" i="24"/>
  <c r="R28" i="24"/>
  <c r="O29" i="24"/>
  <c r="P29" i="24"/>
  <c r="Q29" i="24"/>
  <c r="R29" i="24"/>
  <c r="O30" i="24"/>
  <c r="P30" i="24"/>
  <c r="Q30" i="24"/>
  <c r="R30" i="24"/>
  <c r="O31" i="24"/>
  <c r="P31" i="24"/>
  <c r="Q31" i="24"/>
  <c r="R31" i="24"/>
  <c r="O32" i="24"/>
  <c r="P32" i="24"/>
  <c r="Q32" i="24"/>
  <c r="R32" i="24"/>
  <c r="O33" i="24"/>
  <c r="P33" i="24"/>
  <c r="Q33" i="24"/>
  <c r="R33" i="24"/>
  <c r="O34" i="24"/>
  <c r="P34" i="24"/>
  <c r="Q34" i="24"/>
  <c r="R34" i="24"/>
  <c r="O35" i="24"/>
  <c r="P35" i="24"/>
  <c r="Q35" i="24"/>
  <c r="R35" i="24"/>
  <c r="O36" i="24"/>
  <c r="P36" i="24"/>
  <c r="Q36" i="24"/>
  <c r="R36" i="24"/>
  <c r="O37" i="24"/>
  <c r="P37" i="24"/>
  <c r="Q37" i="24"/>
  <c r="R37" i="24"/>
  <c r="O38" i="24"/>
  <c r="P38" i="24"/>
  <c r="Q38" i="24"/>
  <c r="R38" i="24"/>
  <c r="O39" i="24"/>
  <c r="P39" i="24"/>
  <c r="Q39" i="24"/>
  <c r="R39" i="24"/>
  <c r="O40" i="24"/>
  <c r="P40" i="24"/>
  <c r="Q40" i="24"/>
  <c r="R40" i="24"/>
  <c r="O41" i="24"/>
  <c r="P41" i="24"/>
  <c r="Q41" i="24"/>
  <c r="R41" i="24"/>
  <c r="O42" i="24"/>
  <c r="P42" i="24"/>
  <c r="Q42" i="24"/>
  <c r="R42" i="24"/>
  <c r="O43" i="24"/>
  <c r="P43" i="24"/>
  <c r="Q43" i="24"/>
  <c r="R43" i="24"/>
  <c r="O44" i="24"/>
  <c r="P44" i="24"/>
  <c r="Q44" i="24"/>
  <c r="R44" i="24"/>
  <c r="O45" i="24"/>
  <c r="P45" i="24"/>
  <c r="Q45" i="24"/>
  <c r="R45" i="24"/>
  <c r="O46" i="24"/>
  <c r="P46" i="24"/>
  <c r="Q46" i="24"/>
  <c r="R46" i="24"/>
  <c r="O47" i="24"/>
  <c r="P47" i="24"/>
  <c r="Q47" i="24"/>
  <c r="R47" i="24"/>
  <c r="R5" i="24"/>
  <c r="Q5" i="24"/>
  <c r="P5" i="24"/>
  <c r="O5" i="24"/>
  <c r="B2" i="24" l="1"/>
  <c r="S20" i="6"/>
  <c r="S21" i="6"/>
  <c r="S22" i="6"/>
  <c r="S19" i="6"/>
  <c r="M20" i="6"/>
  <c r="N20" i="6"/>
  <c r="M21" i="6"/>
  <c r="N21" i="6"/>
  <c r="M22" i="6"/>
  <c r="N22" i="6"/>
  <c r="N19" i="6"/>
  <c r="M19" i="6"/>
  <c r="K6" i="24" l="1"/>
  <c r="L6" i="24"/>
  <c r="M6" i="24"/>
  <c r="M8" i="24"/>
  <c r="M9" i="24"/>
  <c r="M18" i="24"/>
  <c r="M19" i="24"/>
  <c r="M20" i="24"/>
  <c r="M21" i="24"/>
  <c r="J28" i="24"/>
  <c r="K28" i="24"/>
  <c r="L28" i="24"/>
  <c r="M28" i="24"/>
  <c r="J29" i="24"/>
  <c r="K29" i="24"/>
  <c r="L29" i="24"/>
  <c r="M29" i="24"/>
  <c r="K30" i="24"/>
  <c r="L30" i="24"/>
  <c r="M30" i="24"/>
  <c r="K31" i="24"/>
  <c r="L31" i="24"/>
  <c r="M31" i="24"/>
  <c r="J34" i="24"/>
  <c r="K34" i="24"/>
  <c r="L34" i="24"/>
  <c r="M34" i="24"/>
  <c r="J36" i="24"/>
  <c r="K36" i="24"/>
  <c r="L36" i="24"/>
  <c r="M36" i="24"/>
  <c r="J37" i="24"/>
  <c r="K37" i="24"/>
  <c r="L37" i="24"/>
  <c r="M37" i="24"/>
  <c r="J38" i="24"/>
  <c r="K38" i="24"/>
  <c r="L38" i="24"/>
  <c r="M38" i="24"/>
  <c r="J39" i="24"/>
  <c r="K39" i="24"/>
  <c r="L39" i="24"/>
  <c r="M39" i="24"/>
  <c r="J40" i="24"/>
  <c r="K40" i="24"/>
  <c r="L40" i="24"/>
  <c r="M40" i="24"/>
  <c r="J41" i="24"/>
  <c r="K41" i="24"/>
  <c r="L41" i="24"/>
  <c r="M41" i="24"/>
  <c r="J42" i="24"/>
  <c r="K42" i="24"/>
  <c r="L42" i="24"/>
  <c r="M42" i="24"/>
  <c r="J43" i="24"/>
  <c r="K43" i="24"/>
  <c r="L43" i="24"/>
  <c r="M43" i="24"/>
  <c r="J44" i="24"/>
  <c r="K44" i="24"/>
  <c r="L44" i="24"/>
  <c r="M44" i="24"/>
  <c r="J45" i="24"/>
  <c r="K45" i="24"/>
  <c r="L45" i="24"/>
  <c r="M45" i="24"/>
  <c r="M5" i="24"/>
  <c r="L5" i="24"/>
  <c r="K5" i="24"/>
  <c r="M3" i="24"/>
  <c r="L3" i="24"/>
  <c r="K3" i="24"/>
  <c r="J3" i="24"/>
  <c r="AB3" i="24"/>
  <c r="AA3" i="24"/>
  <c r="Z3" i="24"/>
  <c r="Y3" i="24"/>
  <c r="W3" i="24"/>
  <c r="V3" i="24"/>
  <c r="U3" i="24"/>
  <c r="T3" i="24"/>
  <c r="R3" i="24"/>
  <c r="Q3" i="24"/>
  <c r="P3" i="24"/>
  <c r="O3" i="24"/>
  <c r="G47" i="24"/>
  <c r="E47" i="24"/>
  <c r="F47" i="24" s="1"/>
  <c r="T47" i="24" s="1" a="1"/>
  <c r="T47" i="24" s="1"/>
  <c r="G46" i="24"/>
  <c r="E46" i="24"/>
  <c r="F46" i="24" s="1"/>
  <c r="G45" i="24"/>
  <c r="E45" i="24"/>
  <c r="F45" i="24" s="1"/>
  <c r="G44" i="24"/>
  <c r="E44" i="24"/>
  <c r="F44" i="24" s="1"/>
  <c r="T44" i="24" s="1" a="1"/>
  <c r="T44" i="24" s="1"/>
  <c r="G43" i="24"/>
  <c r="E43" i="24"/>
  <c r="F43" i="24" s="1"/>
  <c r="T43" i="24" s="1" a="1"/>
  <c r="T43" i="24" s="1"/>
  <c r="G42" i="24"/>
  <c r="E42" i="24"/>
  <c r="F42" i="24" s="1"/>
  <c r="U42" i="24" s="1" a="1"/>
  <c r="U42" i="24" s="1"/>
  <c r="G41" i="24"/>
  <c r="E41" i="24"/>
  <c r="F41" i="24" s="1"/>
  <c r="T41" i="24" s="1" a="1"/>
  <c r="T41" i="24" s="1"/>
  <c r="G40" i="24"/>
  <c r="E40" i="24"/>
  <c r="F40" i="24" s="1"/>
  <c r="T40" i="24" s="1" a="1"/>
  <c r="T40" i="24" s="1"/>
  <c r="G39" i="24"/>
  <c r="E39" i="24"/>
  <c r="F39" i="24" s="1"/>
  <c r="T39" i="24" s="1" a="1"/>
  <c r="T39" i="24" s="1"/>
  <c r="G38" i="24"/>
  <c r="E38" i="24"/>
  <c r="F38" i="24" s="1"/>
  <c r="G37" i="24"/>
  <c r="E37" i="24"/>
  <c r="F37" i="24" s="1"/>
  <c r="G36" i="24"/>
  <c r="E36" i="24"/>
  <c r="F36" i="24" s="1"/>
  <c r="G35" i="24"/>
  <c r="E35" i="24"/>
  <c r="F35" i="24" s="1"/>
  <c r="T35" i="24" s="1" a="1"/>
  <c r="T35" i="24" s="1"/>
  <c r="G34" i="24"/>
  <c r="E34" i="24"/>
  <c r="F34" i="24" s="1"/>
  <c r="T34" i="24" s="1" a="1"/>
  <c r="T34" i="24" s="1"/>
  <c r="G33" i="24"/>
  <c r="E33" i="24"/>
  <c r="F33" i="24" s="1"/>
  <c r="T33" i="24" s="1" a="1"/>
  <c r="T33" i="24" s="1"/>
  <c r="G32" i="24"/>
  <c r="E32" i="24"/>
  <c r="F32" i="24" s="1"/>
  <c r="T32" i="24" s="1" a="1"/>
  <c r="T32" i="24" s="1"/>
  <c r="G31" i="24"/>
  <c r="E31" i="24"/>
  <c r="F31" i="24" s="1"/>
  <c r="T31" i="24" s="1" a="1"/>
  <c r="T31" i="24" s="1"/>
  <c r="G30" i="24"/>
  <c r="E30" i="24"/>
  <c r="F30" i="24" s="1"/>
  <c r="T30" i="24" s="1" a="1"/>
  <c r="T30" i="24" s="1"/>
  <c r="G29" i="24"/>
  <c r="E29" i="24"/>
  <c r="F29" i="24" s="1"/>
  <c r="G28" i="24"/>
  <c r="E28" i="24"/>
  <c r="F28" i="24" s="1"/>
  <c r="G27" i="24"/>
  <c r="E27" i="24"/>
  <c r="F27" i="24" s="1"/>
  <c r="G26" i="24"/>
  <c r="E26" i="24"/>
  <c r="F26" i="24" s="1"/>
  <c r="G25" i="24"/>
  <c r="E25" i="24"/>
  <c r="F25" i="24" s="1"/>
  <c r="G24" i="24"/>
  <c r="E24" i="24"/>
  <c r="F24" i="24" s="1"/>
  <c r="G23" i="24"/>
  <c r="E23" i="24"/>
  <c r="F23" i="24" s="1"/>
  <c r="G22" i="24"/>
  <c r="E22" i="24"/>
  <c r="F22" i="24" s="1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G17" i="24"/>
  <c r="E17" i="24"/>
  <c r="F17" i="24" s="1"/>
  <c r="U17" i="24" s="1" a="1"/>
  <c r="U17" i="24" s="1"/>
  <c r="G16" i="24"/>
  <c r="E16" i="24"/>
  <c r="F16" i="24" s="1"/>
  <c r="G15" i="24"/>
  <c r="E15" i="24"/>
  <c r="F15" i="24" s="1"/>
  <c r="T15" i="24" s="1" a="1"/>
  <c r="T15" i="24" s="1"/>
  <c r="G14" i="24"/>
  <c r="E14" i="24"/>
  <c r="F14" i="24" s="1"/>
  <c r="W14" i="24" s="1" a="1"/>
  <c r="W14" i="24" s="1"/>
  <c r="G13" i="24"/>
  <c r="E13" i="24"/>
  <c r="F13" i="24" s="1"/>
  <c r="T13" i="24" s="1" a="1"/>
  <c r="T13" i="24" s="1"/>
  <c r="G12" i="24"/>
  <c r="E12" i="24"/>
  <c r="F12" i="24" s="1"/>
  <c r="V12" i="24" s="1" a="1"/>
  <c r="V12" i="24" s="1"/>
  <c r="G11" i="24"/>
  <c r="E11" i="24"/>
  <c r="F11" i="24" s="1"/>
  <c r="T11" i="24" s="1" a="1"/>
  <c r="T11" i="24" s="1"/>
  <c r="G10" i="24"/>
  <c r="E10" i="24"/>
  <c r="F10" i="24" s="1"/>
  <c r="U10" i="24" s="1" a="1"/>
  <c r="U10" i="24" s="1"/>
  <c r="G9" i="24"/>
  <c r="E9" i="24"/>
  <c r="F9" i="24" s="1"/>
  <c r="T9" i="24" s="1" a="1"/>
  <c r="T9" i="24" s="1"/>
  <c r="G8" i="24"/>
  <c r="E8" i="24"/>
  <c r="F8" i="24" s="1"/>
  <c r="T8" i="24" s="1" a="1"/>
  <c r="T8" i="24" s="1"/>
  <c r="G7" i="24"/>
  <c r="E7" i="24"/>
  <c r="F7" i="24" s="1"/>
  <c r="U7" i="24" s="1" a="1"/>
  <c r="U7" i="24" s="1"/>
  <c r="G6" i="24"/>
  <c r="E6" i="24"/>
  <c r="F6" i="24" s="1"/>
  <c r="G5" i="24"/>
  <c r="E5" i="24"/>
  <c r="F5" i="24" s="1"/>
  <c r="T38" i="24" l="1" a="1"/>
  <c r="T38" i="24" s="1"/>
  <c r="T26" i="24" a="1"/>
  <c r="T26" i="24" s="1"/>
  <c r="T20" i="24" a="1"/>
  <c r="T20" i="24" s="1"/>
  <c r="U5" i="24" a="1"/>
  <c r="U5" i="24" s="1"/>
  <c r="T21" i="24" a="1"/>
  <c r="T21" i="24" s="1"/>
  <c r="T27" i="24" a="1"/>
  <c r="T27" i="24" s="1"/>
  <c r="U45" i="24" a="1"/>
  <c r="U45" i="24" s="1"/>
  <c r="T22" i="24" a="1"/>
  <c r="T22" i="24" s="1"/>
  <c r="T28" i="24" a="1"/>
  <c r="T28" i="24" s="1"/>
  <c r="T46" i="24" a="1"/>
  <c r="T46" i="24" s="1"/>
  <c r="T29" i="24" a="1"/>
  <c r="T29" i="24" s="1"/>
  <c r="T16" i="24" a="1"/>
  <c r="T16" i="24" s="1"/>
  <c r="T23" i="24" a="1"/>
  <c r="T23" i="24" s="1"/>
  <c r="T6" i="24" a="1"/>
  <c r="T6" i="24" s="1"/>
  <c r="T18" i="24" a="1"/>
  <c r="T18" i="24" s="1"/>
  <c r="T24" i="24" a="1"/>
  <c r="T24" i="24" s="1"/>
  <c r="T36" i="24" a="1"/>
  <c r="T36" i="24" s="1"/>
  <c r="T19" i="24" a="1"/>
  <c r="T19" i="24" s="1"/>
  <c r="T25" i="24" a="1"/>
  <c r="T25" i="24" s="1"/>
  <c r="T37" i="24" a="1"/>
  <c r="T37" i="24" s="1"/>
  <c r="T42" i="24" a="1"/>
  <c r="T42" i="24" s="1"/>
  <c r="V40" i="24" a="1"/>
  <c r="V40" i="24" s="1"/>
  <c r="V37" i="24" a="1"/>
  <c r="V37" i="24" s="1"/>
  <c r="V34" i="24" a="1"/>
  <c r="V34" i="24" s="1"/>
  <c r="V31" i="24" a="1"/>
  <c r="V31" i="24" s="1"/>
  <c r="V28" i="24" a="1"/>
  <c r="V28" i="24" s="1"/>
  <c r="V25" i="24" a="1"/>
  <c r="V25" i="24" s="1"/>
  <c r="V22" i="24" a="1"/>
  <c r="V22" i="24" s="1"/>
  <c r="V46" i="24" a="1"/>
  <c r="V46" i="24" s="1"/>
  <c r="V19" i="24" a="1"/>
  <c r="V19" i="24" s="1"/>
  <c r="T45" i="24" a="1"/>
  <c r="T45" i="24" s="1"/>
  <c r="W16" i="24" a="1"/>
  <c r="W16" i="24" s="1"/>
  <c r="V44" i="24" a="1"/>
  <c r="V44" i="24" s="1"/>
  <c r="U14" i="24" a="1"/>
  <c r="U14" i="24" s="1"/>
  <c r="V43" i="24" a="1"/>
  <c r="V43" i="24" s="1"/>
  <c r="T12" i="24" a="1"/>
  <c r="T12" i="24" s="1"/>
  <c r="W9" i="24" a="1"/>
  <c r="W9" i="24" s="1"/>
  <c r="W6" i="24" a="1"/>
  <c r="W6" i="24" s="1"/>
  <c r="W46" i="24" a="1"/>
  <c r="W46" i="24" s="1"/>
  <c r="W43" i="24" a="1"/>
  <c r="W43" i="24" s="1"/>
  <c r="W40" i="24" a="1"/>
  <c r="W40" i="24" s="1"/>
  <c r="W37" i="24" a="1"/>
  <c r="W37" i="24" s="1"/>
  <c r="W34" i="24" a="1"/>
  <c r="W34" i="24" s="1"/>
  <c r="W31" i="24" a="1"/>
  <c r="W31" i="24" s="1"/>
  <c r="W28" i="24" a="1"/>
  <c r="W28" i="24" s="1"/>
  <c r="W25" i="24" a="1"/>
  <c r="W25" i="24" s="1"/>
  <c r="W22" i="24" a="1"/>
  <c r="W22" i="24" s="1"/>
  <c r="W19" i="24" a="1"/>
  <c r="W19" i="24" s="1"/>
  <c r="T17" i="24" a="1"/>
  <c r="T17" i="24" s="1"/>
  <c r="V14" i="24" a="1"/>
  <c r="V14" i="24" s="1"/>
  <c r="U12" i="24" a="1"/>
  <c r="U12" i="24" s="1"/>
  <c r="T10" i="24" a="1"/>
  <c r="T10" i="24" s="1"/>
  <c r="V6" i="24" a="1"/>
  <c r="V6" i="24" s="1"/>
  <c r="U46" i="24" a="1"/>
  <c r="U46" i="24" s="1"/>
  <c r="U43" i="24" a="1"/>
  <c r="U43" i="24" s="1"/>
  <c r="U40" i="24" a="1"/>
  <c r="U40" i="24" s="1"/>
  <c r="U37" i="24" a="1"/>
  <c r="U37" i="24" s="1"/>
  <c r="U34" i="24" a="1"/>
  <c r="U34" i="24" s="1"/>
  <c r="U31" i="24" a="1"/>
  <c r="U31" i="24" s="1"/>
  <c r="U28" i="24" a="1"/>
  <c r="U28" i="24" s="1"/>
  <c r="U25" i="24" a="1"/>
  <c r="U25" i="24" s="1"/>
  <c r="U22" i="24" a="1"/>
  <c r="U22" i="24" s="1"/>
  <c r="U19" i="24" a="1"/>
  <c r="U19" i="24" s="1"/>
  <c r="V16" i="24" a="1"/>
  <c r="V16" i="24" s="1"/>
  <c r="U6" i="24" a="1"/>
  <c r="U6" i="24" s="1"/>
  <c r="U16" i="24" a="1"/>
  <c r="U16" i="24" s="1"/>
  <c r="T14" i="24" a="1"/>
  <c r="T14" i="24" s="1"/>
  <c r="W11" i="24" a="1"/>
  <c r="W11" i="24" s="1"/>
  <c r="V9" i="24" a="1"/>
  <c r="V9" i="24" s="1"/>
  <c r="W5" i="24" a="1"/>
  <c r="W5" i="24" s="1"/>
  <c r="W45" i="24" a="1"/>
  <c r="W45" i="24" s="1"/>
  <c r="W39" i="24" a="1"/>
  <c r="W39" i="24" s="1"/>
  <c r="W36" i="24" a="1"/>
  <c r="W36" i="24" s="1"/>
  <c r="W33" i="24" a="1"/>
  <c r="W33" i="24" s="1"/>
  <c r="W30" i="24" a="1"/>
  <c r="W30" i="24" s="1"/>
  <c r="W27" i="24" a="1"/>
  <c r="W27" i="24" s="1"/>
  <c r="W24" i="24" a="1"/>
  <c r="W24" i="24" s="1"/>
  <c r="W21" i="24" a="1"/>
  <c r="W21" i="24" s="1"/>
  <c r="W18" i="24" a="1"/>
  <c r="W18" i="24" s="1"/>
  <c r="W13" i="24" a="1"/>
  <c r="W13" i="24" s="1"/>
  <c r="V11" i="24" a="1"/>
  <c r="V11" i="24" s="1"/>
  <c r="U9" i="24" a="1"/>
  <c r="U9" i="24" s="1"/>
  <c r="W42" i="24" a="1"/>
  <c r="W42" i="24" s="1"/>
  <c r="T7" i="24" a="1"/>
  <c r="T7" i="24" s="1"/>
  <c r="V5" i="24" a="1"/>
  <c r="V5" i="24" s="1"/>
  <c r="V45" i="24" a="1"/>
  <c r="V45" i="24" s="1"/>
  <c r="V42" i="24" a="1"/>
  <c r="V42" i="24" s="1"/>
  <c r="V39" i="24" a="1"/>
  <c r="V39" i="24" s="1"/>
  <c r="V36" i="24" a="1"/>
  <c r="V36" i="24" s="1"/>
  <c r="V33" i="24" a="1"/>
  <c r="V33" i="24" s="1"/>
  <c r="V30" i="24" a="1"/>
  <c r="V30" i="24" s="1"/>
  <c r="V27" i="24" a="1"/>
  <c r="V27" i="24" s="1"/>
  <c r="V24" i="24" a="1"/>
  <c r="V24" i="24" s="1"/>
  <c r="V21" i="24" a="1"/>
  <c r="V21" i="24" s="1"/>
  <c r="V18" i="24" a="1"/>
  <c r="V18" i="24" s="1"/>
  <c r="W15" i="24" a="1"/>
  <c r="W15" i="24" s="1"/>
  <c r="V13" i="24" a="1"/>
  <c r="V13" i="24" s="1"/>
  <c r="U11" i="24" a="1"/>
  <c r="U11" i="24" s="1"/>
  <c r="U39" i="24" a="1"/>
  <c r="U39" i="24" s="1"/>
  <c r="U36" i="24" a="1"/>
  <c r="U36" i="24" s="1"/>
  <c r="U33" i="24" a="1"/>
  <c r="U33" i="24" s="1"/>
  <c r="U30" i="24" a="1"/>
  <c r="U30" i="24" s="1"/>
  <c r="U27" i="24" a="1"/>
  <c r="U27" i="24" s="1"/>
  <c r="U24" i="24" a="1"/>
  <c r="U24" i="24" s="1"/>
  <c r="U21" i="24" a="1"/>
  <c r="U21" i="24" s="1"/>
  <c r="U18" i="24" a="1"/>
  <c r="U18" i="24" s="1"/>
  <c r="T5" i="24" a="1"/>
  <c r="T5" i="24" s="1"/>
  <c r="V15" i="24" a="1"/>
  <c r="V15" i="24" s="1"/>
  <c r="U13" i="24" a="1"/>
  <c r="U13" i="24" s="1"/>
  <c r="W8" i="24" a="1"/>
  <c r="W8" i="24" s="1"/>
  <c r="W7" i="24" a="1"/>
  <c r="W7" i="24" s="1"/>
  <c r="W47" i="24" a="1"/>
  <c r="W47" i="24" s="1"/>
  <c r="W44" i="24" a="1"/>
  <c r="W44" i="24" s="1"/>
  <c r="W41" i="24" a="1"/>
  <c r="W41" i="24" s="1"/>
  <c r="W38" i="24" a="1"/>
  <c r="W38" i="24" s="1"/>
  <c r="W35" i="24" a="1"/>
  <c r="W35" i="24" s="1"/>
  <c r="W32" i="24" a="1"/>
  <c r="W32" i="24" s="1"/>
  <c r="W29" i="24" a="1"/>
  <c r="W29" i="24" s="1"/>
  <c r="W26" i="24" a="1"/>
  <c r="W26" i="24" s="1"/>
  <c r="W23" i="24" a="1"/>
  <c r="W23" i="24" s="1"/>
  <c r="W20" i="24" a="1"/>
  <c r="W20" i="24" s="1"/>
  <c r="W17" i="24" a="1"/>
  <c r="W17" i="24" s="1"/>
  <c r="U15" i="24" a="1"/>
  <c r="U15" i="24" s="1"/>
  <c r="W10" i="24" a="1"/>
  <c r="W10" i="24" s="1"/>
  <c r="V8" i="24" a="1"/>
  <c r="V8" i="24" s="1"/>
  <c r="V7" i="24" a="1"/>
  <c r="V7" i="24" s="1"/>
  <c r="V47" i="24" a="1"/>
  <c r="V47" i="24" s="1"/>
  <c r="V41" i="24" a="1"/>
  <c r="V41" i="24" s="1"/>
  <c r="V38" i="24" a="1"/>
  <c r="V38" i="24" s="1"/>
  <c r="V35" i="24" a="1"/>
  <c r="V35" i="24" s="1"/>
  <c r="V32" i="24" a="1"/>
  <c r="V32" i="24" s="1"/>
  <c r="V29" i="24" a="1"/>
  <c r="V29" i="24" s="1"/>
  <c r="V26" i="24" a="1"/>
  <c r="V26" i="24" s="1"/>
  <c r="V23" i="24" a="1"/>
  <c r="V23" i="24" s="1"/>
  <c r="V20" i="24" a="1"/>
  <c r="V20" i="24" s="1"/>
  <c r="V17" i="24" a="1"/>
  <c r="V17" i="24" s="1"/>
  <c r="W12" i="24" a="1"/>
  <c r="W12" i="24" s="1"/>
  <c r="V10" i="24" a="1"/>
  <c r="V10" i="24" s="1"/>
  <c r="U8" i="24" a="1"/>
  <c r="U8" i="24" s="1"/>
  <c r="U47" i="24" a="1"/>
  <c r="U47" i="24" s="1"/>
  <c r="U44" i="24" a="1"/>
  <c r="U44" i="24" s="1"/>
  <c r="U41" i="24" a="1"/>
  <c r="U41" i="24" s="1"/>
  <c r="U38" i="24" a="1"/>
  <c r="U38" i="24" s="1"/>
  <c r="U35" i="24" a="1"/>
  <c r="U35" i="24" s="1"/>
  <c r="U32" i="24" a="1"/>
  <c r="U32" i="24" s="1"/>
  <c r="U29" i="24" a="1"/>
  <c r="U29" i="24" s="1"/>
  <c r="U26" i="24" a="1"/>
  <c r="U26" i="24" s="1"/>
  <c r="U23" i="24" a="1"/>
  <c r="U23" i="24" s="1"/>
  <c r="U20" i="24" a="1"/>
  <c r="U20" i="24" s="1"/>
  <c r="P22" i="6" l="1"/>
  <c r="Q22" i="6"/>
  <c r="R22" i="6"/>
  <c r="P21" i="6"/>
  <c r="Q21" i="6"/>
  <c r="R21" i="6"/>
  <c r="P20" i="6"/>
  <c r="Q20" i="6"/>
  <c r="R20" i="6"/>
  <c r="P19" i="6"/>
  <c r="Q19" i="6"/>
  <c r="R19" i="6"/>
  <c r="F5" i="4" l="1"/>
  <c r="J6" i="24" s="1"/>
  <c r="F6" i="4"/>
  <c r="M7" i="24" s="1"/>
  <c r="F7" i="4"/>
  <c r="F8" i="4"/>
  <c r="F9" i="4"/>
  <c r="M10" i="24" s="1"/>
  <c r="F10" i="4"/>
  <c r="F11" i="4"/>
  <c r="M12" i="24" s="1"/>
  <c r="F12" i="4"/>
  <c r="M13" i="24" s="1"/>
  <c r="F13" i="4"/>
  <c r="M14" i="24" s="1"/>
  <c r="F14" i="4"/>
  <c r="M15" i="24" s="1"/>
  <c r="F15" i="4"/>
  <c r="M16" i="24" s="1"/>
  <c r="F16" i="4"/>
  <c r="M17" i="24" s="1"/>
  <c r="F17" i="4"/>
  <c r="F18" i="4"/>
  <c r="F19" i="4"/>
  <c r="F20" i="4"/>
  <c r="F21" i="4"/>
  <c r="M22" i="24" s="1"/>
  <c r="F22" i="4"/>
  <c r="F23" i="4"/>
  <c r="F24" i="4"/>
  <c r="F25" i="4"/>
  <c r="F26" i="4"/>
  <c r="F27" i="4"/>
  <c r="F28" i="4"/>
  <c r="F29" i="4"/>
  <c r="J30" i="24" s="1"/>
  <c r="F30" i="4"/>
  <c r="J31" i="24" s="1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M47" i="24" s="1"/>
  <c r="F4" i="4"/>
  <c r="J5" i="24" s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" i="4"/>
  <c r="J27" i="24" l="1"/>
  <c r="M27" i="24"/>
  <c r="K27" i="24"/>
  <c r="L27" i="24"/>
  <c r="J26" i="24"/>
  <c r="M26" i="24"/>
  <c r="K26" i="24"/>
  <c r="L26" i="24"/>
  <c r="J46" i="24"/>
  <c r="M46" i="24"/>
  <c r="K46" i="24"/>
  <c r="L46" i="24"/>
  <c r="K35" i="24"/>
  <c r="M35" i="24"/>
  <c r="L35" i="24"/>
  <c r="J35" i="24"/>
  <c r="J32" i="24"/>
  <c r="K32" i="24"/>
  <c r="L32" i="24"/>
  <c r="M32" i="24"/>
  <c r="M33" i="24"/>
  <c r="J33" i="24"/>
  <c r="K33" i="24"/>
  <c r="L33" i="24"/>
  <c r="J25" i="24"/>
  <c r="M25" i="24"/>
  <c r="K25" i="24"/>
  <c r="L25" i="24"/>
  <c r="J11" i="24"/>
  <c r="M11" i="24"/>
  <c r="L11" i="24"/>
  <c r="K11" i="24"/>
  <c r="J24" i="24"/>
  <c r="M24" i="24"/>
  <c r="L24" i="24"/>
  <c r="K24" i="24"/>
  <c r="J23" i="24"/>
  <c r="M23" i="24"/>
  <c r="L23" i="24"/>
  <c r="K23" i="24"/>
  <c r="J17" i="24"/>
  <c r="L17" i="24"/>
  <c r="K17" i="24"/>
  <c r="J9" i="24"/>
  <c r="L9" i="24"/>
  <c r="K9" i="24"/>
  <c r="J22" i="24"/>
  <c r="L22" i="24"/>
  <c r="K22" i="24"/>
  <c r="J21" i="24"/>
  <c r="K21" i="24"/>
  <c r="L21" i="24"/>
  <c r="J20" i="24"/>
  <c r="L20" i="24"/>
  <c r="K20" i="24"/>
  <c r="J19" i="24"/>
  <c r="K19" i="24"/>
  <c r="L19" i="24"/>
  <c r="J18" i="24"/>
  <c r="K18" i="24"/>
  <c r="L18" i="24"/>
  <c r="J13" i="24"/>
  <c r="L13" i="24"/>
  <c r="K13" i="24"/>
  <c r="J12" i="24"/>
  <c r="K12" i="24"/>
  <c r="L12" i="24"/>
  <c r="J47" i="24"/>
  <c r="K47" i="24"/>
  <c r="L47" i="24"/>
  <c r="L8" i="24"/>
  <c r="K8" i="24"/>
  <c r="J8" i="24"/>
  <c r="L7" i="24"/>
  <c r="K7" i="24"/>
  <c r="J7" i="24"/>
  <c r="J16" i="24"/>
  <c r="K16" i="24"/>
  <c r="L16" i="24"/>
  <c r="J15" i="24"/>
  <c r="L15" i="24"/>
  <c r="K15" i="24"/>
  <c r="J14" i="24"/>
  <c r="L14" i="24"/>
  <c r="K14" i="24"/>
  <c r="J10" i="24"/>
  <c r="L10" i="24"/>
  <c r="K10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<sst xmlns="http://schemas.openxmlformats.org/spreadsheetml/2006/main" count="276" uniqueCount="60">
  <si>
    <t>Location</t>
  </si>
  <si>
    <t>Fuel Cost
($/MW-hr)</t>
  </si>
  <si>
    <t>Total Incremental Cost
($/MW-hr)</t>
  </si>
  <si>
    <t>Variable O&amp;M Costs
($/MW-hr)</t>
  </si>
  <si>
    <t>Fixed Daily O&amp;M Costs
($/day)</t>
  </si>
  <si>
    <t>Start-up Costs
($/start-up)</t>
  </si>
  <si>
    <t>Hour 1</t>
  </si>
  <si>
    <t>Hour 2</t>
  </si>
  <si>
    <t>Hour 3</t>
  </si>
  <si>
    <t>Hour 4</t>
  </si>
  <si>
    <t>Unit Type</t>
  </si>
  <si>
    <t>Utility
Name</t>
  </si>
  <si>
    <t>Utility
Number</t>
  </si>
  <si>
    <t>Rogue Renewables</t>
  </si>
  <si>
    <t>Rose City Spark</t>
  </si>
  <si>
    <t>Cascadia Generation</t>
  </si>
  <si>
    <t>San Juan Power &amp; Light</t>
  </si>
  <si>
    <t>Central Washington Power</t>
  </si>
  <si>
    <t>Snake River Energy</t>
  </si>
  <si>
    <t>Garrison Heavy Industries</t>
  </si>
  <si>
    <t>West</t>
  </si>
  <si>
    <t>East</t>
  </si>
  <si>
    <t>Unit ID</t>
  </si>
  <si>
    <t>Offshore Wind</t>
  </si>
  <si>
    <t>Geothermal</t>
  </si>
  <si>
    <t>Hydro</t>
  </si>
  <si>
    <t>Natural Gas</t>
  </si>
  <si>
    <t>Solar</t>
  </si>
  <si>
    <t>Onshore Wind</t>
  </si>
  <si>
    <t>Wave</t>
  </si>
  <si>
    <t>Nuclear</t>
  </si>
  <si>
    <t>Coal</t>
  </si>
  <si>
    <t>Avg. Capacity
Factor</t>
  </si>
  <si>
    <t>Max Capacity 
(MW)</t>
  </si>
  <si>
    <t>Bid Capacity 
(MW)</t>
  </si>
  <si>
    <t>Bid Price ($/MW-hr)</t>
  </si>
  <si>
    <t>Day</t>
  </si>
  <si>
    <t>West Load (MW)</t>
  </si>
  <si>
    <t>East Load (MW)</t>
  </si>
  <si>
    <t>alpha</t>
  </si>
  <si>
    <t>beta</t>
  </si>
  <si>
    <t>Hour</t>
  </si>
  <si>
    <t>Capacity Factors</t>
  </si>
  <si>
    <t>Offshore</t>
  </si>
  <si>
    <t>Onshore</t>
  </si>
  <si>
    <t>Wind Weibull Distribution Paramaters</t>
  </si>
  <si>
    <t>Day:</t>
  </si>
  <si>
    <t>Unit Type
Code</t>
  </si>
  <si>
    <t>Generation Codes</t>
  </si>
  <si>
    <t>Hour Code:</t>
  </si>
  <si>
    <t>Capacity Factor</t>
  </si>
  <si>
    <t>Effective Capacity Bid</t>
  </si>
  <si>
    <t>&lt;- Generation Codes</t>
  </si>
  <si>
    <t>Capacity Bid (MW)</t>
  </si>
  <si>
    <t>Transmission Limit</t>
  </si>
  <si>
    <t>Actual Load</t>
  </si>
  <si>
    <t>Load Forecast</t>
  </si>
  <si>
    <t>RANDOM - WILL NOT BE ACTUAL FIRST DAY LOAD OR CAPACITY FACTORS</t>
  </si>
  <si>
    <t>= minimum(Bid, Available Capacity)</t>
  </si>
  <si>
    <t>(random, for demonstration, not 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</si>
</sst>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.00"/>
    <numFmt numFmtId="165" formatCode="&quot;$&quot;#,##0"/>
    <numFmt numFmtId="166" formatCode="&quot;$&quot;#,##0.0"/>
    <numFmt numFmtId="167" formatCode="0.000"/>
    <numFmt numFmtId="168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1.5"/>
      <color rgb="FF000000"/>
      <name val="Times New Roman"/>
      <family val="1"/>
    </font>
    <font>
      <b/>
      <sz val="14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2" tint="-0.249977111117893"/>
      <name val="Garamond"/>
      <family val="1"/>
    </font>
    <font>
      <sz val="11.5"/>
      <color theme="2" tint="-0.249977111117893"/>
      <name val="Times New Roman"/>
      <family val="1"/>
    </font>
    <font>
      <b/>
      <sz val="11"/>
      <color theme="4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79B9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BE3BB"/>
        <bgColor indexed="64"/>
      </patternFill>
    </fill>
    <fill>
      <patternFill patternType="solid">
        <fgColor rgb="FFFCDCDE"/>
        <bgColor indexed="64"/>
      </patternFill>
    </fill>
    <fill>
      <patternFill patternType="solid">
        <fgColor rgb="FFEFABFF"/>
        <bgColor indexed="64"/>
      </patternFill>
    </fill>
    <fill>
      <patternFill patternType="solid">
        <fgColor rgb="FFB3D0EB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D6D4D4"/>
        <bgColor indexed="64"/>
      </patternFill>
    </fill>
    <fill>
      <patternFill patternType="solid">
        <fgColor rgb="FFFDB783"/>
        <bgColor indexed="64"/>
      </patternFill>
    </fill>
    <fill>
      <patternFill patternType="solid">
        <fgColor rgb="FFFB7A1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8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2" borderId="2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13" borderId="0" xfId="0" applyFill="1" applyAlignment="1">
      <alignment horizontal="center"/>
    </xf>
    <xf numFmtId="0" fontId="0" fillId="13" borderId="0" xfId="0" applyFill="1"/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12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14" borderId="2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/>
    <xf numFmtId="165" fontId="0" fillId="8" borderId="0" xfId="0" applyNumberFormat="1" applyFill="1"/>
    <xf numFmtId="165" fontId="0" fillId="8" borderId="1" xfId="0" applyNumberFormat="1" applyFill="1" applyBorder="1"/>
    <xf numFmtId="165" fontId="0" fillId="9" borderId="2" xfId="0" applyNumberFormat="1" applyFill="1" applyBorder="1"/>
    <xf numFmtId="165" fontId="0" fillId="9" borderId="0" xfId="0" applyNumberFormat="1" applyFill="1"/>
    <xf numFmtId="165" fontId="0" fillId="9" borderId="1" xfId="0" applyNumberFormat="1" applyFill="1" applyBorder="1"/>
    <xf numFmtId="165" fontId="0" fillId="10" borderId="0" xfId="0" applyNumberFormat="1" applyFill="1"/>
    <xf numFmtId="165" fontId="0" fillId="10" borderId="1" xfId="0" applyNumberFormat="1" applyFill="1" applyBorder="1"/>
    <xf numFmtId="165" fontId="0" fillId="11" borderId="0" xfId="0" applyNumberFormat="1" applyFill="1"/>
    <xf numFmtId="165" fontId="0" fillId="11" borderId="1" xfId="0" applyNumberFormat="1" applyFill="1" applyBorder="1"/>
    <xf numFmtId="165" fontId="0" fillId="12" borderId="2" xfId="0" applyNumberFormat="1" applyFill="1" applyBorder="1"/>
    <xf numFmtId="165" fontId="0" fillId="12" borderId="1" xfId="0" applyNumberFormat="1" applyFill="1" applyBorder="1"/>
    <xf numFmtId="165" fontId="0" fillId="14" borderId="2" xfId="0" applyNumberFormat="1" applyFill="1" applyBorder="1"/>
    <xf numFmtId="165" fontId="0" fillId="14" borderId="0" xfId="0" applyNumberFormat="1" applyFill="1"/>
    <xf numFmtId="165" fontId="0" fillId="14" borderId="1" xfId="0" applyNumberFormat="1" applyFill="1" applyBorder="1"/>
    <xf numFmtId="165" fontId="0" fillId="13" borderId="0" xfId="0" applyNumberFormat="1" applyFill="1"/>
    <xf numFmtId="165" fontId="0" fillId="13" borderId="1" xfId="0" applyNumberFormat="1" applyFill="1" applyBorder="1"/>
    <xf numFmtId="166" fontId="0" fillId="8" borderId="0" xfId="0" applyNumberFormat="1" applyFill="1"/>
    <xf numFmtId="166" fontId="0" fillId="8" borderId="1" xfId="0" applyNumberFormat="1" applyFill="1" applyBorder="1"/>
    <xf numFmtId="166" fontId="0" fillId="9" borderId="2" xfId="0" applyNumberFormat="1" applyFill="1" applyBorder="1"/>
    <xf numFmtId="166" fontId="0" fillId="9" borderId="0" xfId="0" applyNumberFormat="1" applyFill="1"/>
    <xf numFmtId="166" fontId="0" fillId="9" borderId="1" xfId="0" applyNumberFormat="1" applyFill="1" applyBorder="1"/>
    <xf numFmtId="166" fontId="0" fillId="10" borderId="0" xfId="0" applyNumberFormat="1" applyFill="1"/>
    <xf numFmtId="166" fontId="0" fillId="10" borderId="1" xfId="0" applyNumberFormat="1" applyFill="1" applyBorder="1"/>
    <xf numFmtId="166" fontId="0" fillId="11" borderId="0" xfId="0" applyNumberFormat="1" applyFill="1"/>
    <xf numFmtId="166" fontId="0" fillId="11" borderId="1" xfId="0" applyNumberFormat="1" applyFill="1" applyBorder="1"/>
    <xf numFmtId="166" fontId="0" fillId="12" borderId="2" xfId="0" applyNumberFormat="1" applyFill="1" applyBorder="1"/>
    <xf numFmtId="166" fontId="0" fillId="12" borderId="1" xfId="0" applyNumberFormat="1" applyFill="1" applyBorder="1"/>
    <xf numFmtId="166" fontId="0" fillId="14" borderId="2" xfId="0" applyNumberFormat="1" applyFill="1" applyBorder="1"/>
    <xf numFmtId="166" fontId="0" fillId="14" borderId="0" xfId="0" applyNumberFormat="1" applyFill="1"/>
    <xf numFmtId="166" fontId="0" fillId="14" borderId="1" xfId="0" applyNumberFormat="1" applyFill="1" applyBorder="1"/>
    <xf numFmtId="166" fontId="0" fillId="13" borderId="0" xfId="0" applyNumberFormat="1" applyFill="1"/>
    <xf numFmtId="166" fontId="0" fillId="13" borderId="1" xfId="0" applyNumberFormat="1" applyFill="1" applyBorder="1"/>
    <xf numFmtId="2" fontId="0" fillId="8" borderId="0" xfId="0" applyNumberFormat="1" applyFill="1"/>
    <xf numFmtId="2" fontId="0" fillId="8" borderId="1" xfId="0" applyNumberFormat="1" applyFill="1" applyBorder="1"/>
    <xf numFmtId="2" fontId="0" fillId="9" borderId="2" xfId="0" applyNumberFormat="1" applyFill="1" applyBorder="1"/>
    <xf numFmtId="2" fontId="0" fillId="9" borderId="0" xfId="0" applyNumberFormat="1" applyFill="1"/>
    <xf numFmtId="2" fontId="0" fillId="9" borderId="1" xfId="0" applyNumberFormat="1" applyFill="1" applyBorder="1"/>
    <xf numFmtId="2" fontId="0" fillId="10" borderId="0" xfId="0" applyNumberFormat="1" applyFill="1"/>
    <xf numFmtId="2" fontId="0" fillId="10" borderId="1" xfId="0" applyNumberFormat="1" applyFill="1" applyBorder="1"/>
    <xf numFmtId="2" fontId="0" fillId="11" borderId="0" xfId="0" applyNumberFormat="1" applyFill="1"/>
    <xf numFmtId="2" fontId="0" fillId="11" borderId="1" xfId="0" applyNumberFormat="1" applyFill="1" applyBorder="1"/>
    <xf numFmtId="2" fontId="0" fillId="12" borderId="2" xfId="0" applyNumberFormat="1" applyFill="1" applyBorder="1"/>
    <xf numFmtId="2" fontId="0" fillId="12" borderId="1" xfId="0" applyNumberFormat="1" applyFill="1" applyBorder="1"/>
    <xf numFmtId="2" fontId="0" fillId="14" borderId="2" xfId="0" applyNumberFormat="1" applyFill="1" applyBorder="1"/>
    <xf numFmtId="2" fontId="0" fillId="14" borderId="0" xfId="0" applyNumberFormat="1" applyFill="1"/>
    <xf numFmtId="2" fontId="0" fillId="14" borderId="1" xfId="0" applyNumberFormat="1" applyFill="1" applyBorder="1"/>
    <xf numFmtId="2" fontId="0" fillId="13" borderId="0" xfId="0" applyNumberFormat="1" applyFill="1"/>
    <xf numFmtId="2" fontId="0" fillId="13" borderId="1" xfId="0" applyNumberFormat="1" applyFill="1" applyBorder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2" fontId="0" fillId="12" borderId="0" xfId="0" applyNumberFormat="1" applyFill="1"/>
    <xf numFmtId="166" fontId="0" fillId="12" borderId="0" xfId="0" applyNumberFormat="1" applyFill="1"/>
    <xf numFmtId="165" fontId="0" fillId="12" borderId="0" xfId="0" applyNumberFormat="1" applyFill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166" fontId="0" fillId="0" borderId="0" xfId="0" applyNumberFormat="1"/>
    <xf numFmtId="2" fontId="0" fillId="0" borderId="0" xfId="0" applyNumberFormat="1"/>
    <xf numFmtId="2" fontId="6" fillId="0" borderId="0" xfId="0" applyNumberFormat="1" applyFont="1"/>
    <xf numFmtId="0" fontId="0" fillId="0" borderId="0" xfId="0" quotePrefix="1"/>
    <xf numFmtId="167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0" fillId="17" borderId="0" xfId="0" applyFill="1"/>
    <xf numFmtId="0" fontId="1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168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/>
    <xf numFmtId="1" fontId="6" fillId="0" borderId="0" xfId="0" applyNumberFormat="1" applyFont="1"/>
    <xf numFmtId="0" fontId="11" fillId="0" borderId="0" xfId="0" applyFont="1"/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1" fillId="1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8" fontId="0" fillId="0" borderId="0" xfId="0" quotePrefix="1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7A19"/>
      <color rgb="FFFDB783"/>
      <color rgb="FFD6D4D4"/>
      <color rgb="FFFFCD3F"/>
      <color rgb="FFEAAD00"/>
      <color rgb="FFFFD45B"/>
      <color rgb="FFFFEAA7"/>
      <color rgb="FFB3D0EB"/>
      <color rgb="FFEFABFF"/>
      <color rgb="FFFCD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90806</xdr:rowOff>
    </xdr:from>
    <xdr:to>
      <xdr:col>20</xdr:col>
      <xdr:colOff>533400</xdr:colOff>
      <xdr:row>33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5A836-8BDF-4379-ACA1-9A83E4B0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90806"/>
          <a:ext cx="11944350" cy="6244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Normal="100" workbookViewId="0">
      <pane ySplit="1" topLeftCell="A9" activePane="bottomLeft" state="frozen"/>
      <selection pane="bottomLeft" activeCell="F2" sqref="F2:L44"/>
    </sheetView>
  </sheetViews>
  <sheetFormatPr defaultRowHeight="15" x14ac:dyDescent="0.25"/>
  <cols>
    <col min="1" max="1" width="36.7109375" customWidth="1"/>
    <col min="3" max="3" width="7.42578125" style="55" bestFit="1" customWidth="1"/>
    <col min="4" max="4" width="9.140625" style="5"/>
    <col min="5" max="5" width="17.140625" style="5" customWidth="1"/>
    <col min="6" max="6" width="14.140625" customWidth="1"/>
    <col min="7" max="7" width="13.42578125" customWidth="1"/>
    <col min="8" max="8" width="12.5703125" customWidth="1"/>
    <col min="9" max="9" width="19.85546875" customWidth="1"/>
    <col min="10" max="10" width="21.140625" bestFit="1" customWidth="1"/>
    <col min="11" max="11" width="21.5703125" customWidth="1"/>
    <col min="12" max="12" width="15" customWidth="1"/>
    <col min="17" max="17" width="13.28515625" customWidth="1"/>
    <col min="18" max="18" width="24.140625" bestFit="1" customWidth="1"/>
  </cols>
  <sheetData>
    <row r="1" spans="1:18" s="38" customFormat="1" ht="32.25" customHeight="1" x14ac:dyDescent="0.25">
      <c r="A1" s="56" t="s">
        <v>11</v>
      </c>
      <c r="B1" s="56" t="s">
        <v>12</v>
      </c>
      <c r="C1" s="37" t="s">
        <v>22</v>
      </c>
      <c r="D1" s="37" t="s">
        <v>0</v>
      </c>
      <c r="E1" s="37" t="s">
        <v>10</v>
      </c>
      <c r="F1" s="56" t="s">
        <v>33</v>
      </c>
      <c r="G1" s="56" t="s">
        <v>32</v>
      </c>
      <c r="H1" s="56" t="s">
        <v>1</v>
      </c>
      <c r="I1" s="56" t="s">
        <v>3</v>
      </c>
      <c r="J1" s="56" t="s">
        <v>2</v>
      </c>
      <c r="K1" s="56" t="s">
        <v>4</v>
      </c>
      <c r="L1" s="56" t="s">
        <v>5</v>
      </c>
    </row>
    <row r="2" spans="1:18" x14ac:dyDescent="0.25">
      <c r="A2" s="147" t="s">
        <v>13</v>
      </c>
      <c r="B2" s="10">
        <v>1</v>
      </c>
      <c r="C2" s="39">
        <v>11</v>
      </c>
      <c r="D2" s="39" t="s">
        <v>20</v>
      </c>
      <c r="E2" s="39" t="s">
        <v>23</v>
      </c>
      <c r="F2" s="11">
        <v>250</v>
      </c>
      <c r="G2" s="96">
        <v>0.7</v>
      </c>
      <c r="H2" s="80">
        <v>0</v>
      </c>
      <c r="I2" s="80">
        <v>2</v>
      </c>
      <c r="J2" s="64">
        <v>2</v>
      </c>
      <c r="K2" s="64">
        <v>2000</v>
      </c>
      <c r="L2" s="64">
        <v>0</v>
      </c>
      <c r="M2" s="2"/>
      <c r="N2" s="121"/>
      <c r="O2" s="3"/>
    </row>
    <row r="3" spans="1:18" x14ac:dyDescent="0.25">
      <c r="A3" s="148"/>
      <c r="B3" s="10">
        <v>1</v>
      </c>
      <c r="C3" s="39">
        <v>12</v>
      </c>
      <c r="D3" s="39" t="s">
        <v>20</v>
      </c>
      <c r="E3" s="39" t="s">
        <v>23</v>
      </c>
      <c r="F3" s="11">
        <v>250</v>
      </c>
      <c r="G3" s="96">
        <v>0.7</v>
      </c>
      <c r="H3" s="80">
        <v>0</v>
      </c>
      <c r="I3" s="80">
        <v>2</v>
      </c>
      <c r="J3" s="64">
        <v>2</v>
      </c>
      <c r="K3" s="64">
        <v>2000</v>
      </c>
      <c r="L3" s="64">
        <v>0</v>
      </c>
      <c r="M3" s="2"/>
      <c r="N3" s="121"/>
      <c r="O3" s="3"/>
    </row>
    <row r="4" spans="1:18" x14ac:dyDescent="0.25">
      <c r="A4" s="148"/>
      <c r="B4" s="10">
        <v>1</v>
      </c>
      <c r="C4" s="39">
        <v>13</v>
      </c>
      <c r="D4" s="39" t="s">
        <v>20</v>
      </c>
      <c r="E4" s="39" t="s">
        <v>24</v>
      </c>
      <c r="F4" s="11">
        <v>600</v>
      </c>
      <c r="G4" s="96">
        <v>1</v>
      </c>
      <c r="H4" s="80">
        <v>1.5</v>
      </c>
      <c r="I4" s="80">
        <v>4.5</v>
      </c>
      <c r="J4" s="64">
        <v>6</v>
      </c>
      <c r="K4" s="64">
        <v>500</v>
      </c>
      <c r="L4" s="64">
        <v>250</v>
      </c>
      <c r="M4" s="2"/>
      <c r="N4" s="121"/>
      <c r="O4" s="3"/>
    </row>
    <row r="5" spans="1:18" x14ac:dyDescent="0.25">
      <c r="A5" s="148"/>
      <c r="B5" s="10">
        <v>1</v>
      </c>
      <c r="C5" s="39">
        <v>14</v>
      </c>
      <c r="D5" s="39" t="s">
        <v>20</v>
      </c>
      <c r="E5" s="39" t="s">
        <v>24</v>
      </c>
      <c r="F5" s="11">
        <v>600</v>
      </c>
      <c r="G5" s="96">
        <v>1</v>
      </c>
      <c r="H5" s="80">
        <v>1.5</v>
      </c>
      <c r="I5" s="80">
        <v>6.5</v>
      </c>
      <c r="J5" s="64">
        <v>8</v>
      </c>
      <c r="K5" s="64">
        <v>500</v>
      </c>
      <c r="L5" s="64">
        <v>250</v>
      </c>
      <c r="M5" s="2"/>
      <c r="N5" s="121"/>
      <c r="O5" s="3"/>
    </row>
    <row r="6" spans="1:18" x14ac:dyDescent="0.25">
      <c r="A6" s="148"/>
      <c r="B6" s="12">
        <v>1</v>
      </c>
      <c r="C6" s="40">
        <v>15</v>
      </c>
      <c r="D6" s="40" t="s">
        <v>20</v>
      </c>
      <c r="E6" s="40" t="s">
        <v>24</v>
      </c>
      <c r="F6" s="13">
        <v>475</v>
      </c>
      <c r="G6" s="97">
        <v>1</v>
      </c>
      <c r="H6" s="81">
        <v>1.5</v>
      </c>
      <c r="I6" s="81">
        <v>7</v>
      </c>
      <c r="J6" s="65">
        <v>8.5</v>
      </c>
      <c r="K6" s="65">
        <v>500</v>
      </c>
      <c r="L6" s="65">
        <v>250</v>
      </c>
      <c r="M6" s="2"/>
      <c r="N6" s="121"/>
      <c r="O6" s="3"/>
    </row>
    <row r="7" spans="1:18" x14ac:dyDescent="0.25">
      <c r="A7" s="149" t="s">
        <v>14</v>
      </c>
      <c r="B7" s="61">
        <v>2</v>
      </c>
      <c r="C7" s="62">
        <v>21</v>
      </c>
      <c r="D7" s="62" t="s">
        <v>20</v>
      </c>
      <c r="E7" s="62" t="s">
        <v>25</v>
      </c>
      <c r="F7" s="63">
        <v>145</v>
      </c>
      <c r="G7" s="98">
        <v>1</v>
      </c>
      <c r="H7" s="82">
        <v>0</v>
      </c>
      <c r="I7" s="82">
        <v>3.5</v>
      </c>
      <c r="J7" s="66">
        <v>3.5</v>
      </c>
      <c r="K7" s="66">
        <v>500</v>
      </c>
      <c r="L7" s="66">
        <v>0</v>
      </c>
      <c r="M7" s="2"/>
      <c r="N7" s="121"/>
      <c r="O7" s="3"/>
    </row>
    <row r="8" spans="1:18" x14ac:dyDescent="0.25">
      <c r="A8" s="149"/>
      <c r="B8" s="14">
        <v>2</v>
      </c>
      <c r="C8" s="41">
        <v>22</v>
      </c>
      <c r="D8" s="41" t="s">
        <v>20</v>
      </c>
      <c r="E8" s="41" t="s">
        <v>25</v>
      </c>
      <c r="F8" s="15">
        <v>145</v>
      </c>
      <c r="G8" s="99">
        <v>1</v>
      </c>
      <c r="H8" s="83">
        <v>0</v>
      </c>
      <c r="I8" s="83">
        <v>3.5</v>
      </c>
      <c r="J8" s="67">
        <v>3.5</v>
      </c>
      <c r="K8" s="67">
        <v>500</v>
      </c>
      <c r="L8" s="67">
        <v>0</v>
      </c>
      <c r="M8" s="2"/>
      <c r="N8" s="121"/>
      <c r="O8" s="3"/>
    </row>
    <row r="9" spans="1:18" x14ac:dyDescent="0.25">
      <c r="A9" s="149"/>
      <c r="B9" s="14">
        <v>2</v>
      </c>
      <c r="C9" s="41">
        <v>23</v>
      </c>
      <c r="D9" s="41" t="s">
        <v>20</v>
      </c>
      <c r="E9" s="41" t="s">
        <v>26</v>
      </c>
      <c r="F9" s="15">
        <v>750</v>
      </c>
      <c r="G9" s="99">
        <v>1</v>
      </c>
      <c r="H9" s="83">
        <v>32</v>
      </c>
      <c r="I9" s="83">
        <v>4</v>
      </c>
      <c r="J9" s="67">
        <v>36</v>
      </c>
      <c r="K9" s="67">
        <v>1000</v>
      </c>
      <c r="L9" s="67">
        <v>1500</v>
      </c>
      <c r="M9" s="2"/>
      <c r="N9" s="121"/>
      <c r="O9" s="3"/>
    </row>
    <row r="10" spans="1:18" x14ac:dyDescent="0.25">
      <c r="A10" s="149"/>
      <c r="B10" s="14">
        <v>2</v>
      </c>
      <c r="C10" s="41">
        <v>24</v>
      </c>
      <c r="D10" s="41" t="s">
        <v>20</v>
      </c>
      <c r="E10" s="41" t="s">
        <v>26</v>
      </c>
      <c r="F10" s="15">
        <v>720</v>
      </c>
      <c r="G10" s="99">
        <v>1</v>
      </c>
      <c r="H10" s="83">
        <v>37</v>
      </c>
      <c r="I10" s="83">
        <v>4</v>
      </c>
      <c r="J10" s="67">
        <v>41</v>
      </c>
      <c r="K10" s="67">
        <v>1000</v>
      </c>
      <c r="L10" s="67">
        <v>1750</v>
      </c>
      <c r="M10" s="2"/>
      <c r="N10" s="121"/>
      <c r="O10" s="3"/>
    </row>
    <row r="11" spans="1:18" x14ac:dyDescent="0.25">
      <c r="A11" s="149"/>
      <c r="B11" s="14">
        <v>2</v>
      </c>
      <c r="C11" s="41">
        <v>25</v>
      </c>
      <c r="D11" s="41" t="s">
        <v>20</v>
      </c>
      <c r="E11" s="41" t="s">
        <v>26</v>
      </c>
      <c r="F11" s="15">
        <v>650</v>
      </c>
      <c r="G11" s="99">
        <v>1</v>
      </c>
      <c r="H11" s="83">
        <v>52</v>
      </c>
      <c r="I11" s="83">
        <v>4</v>
      </c>
      <c r="J11" s="67">
        <v>56</v>
      </c>
      <c r="K11" s="67">
        <v>2000</v>
      </c>
      <c r="L11" s="67">
        <v>2000</v>
      </c>
      <c r="M11" s="2"/>
      <c r="N11" s="121"/>
      <c r="O11" s="3"/>
      <c r="Q11" s="8"/>
    </row>
    <row r="12" spans="1:18" x14ac:dyDescent="0.25">
      <c r="A12" s="149"/>
      <c r="B12" s="14">
        <v>2</v>
      </c>
      <c r="C12" s="41">
        <v>26</v>
      </c>
      <c r="D12" s="41" t="s">
        <v>20</v>
      </c>
      <c r="E12" s="41" t="s">
        <v>26</v>
      </c>
      <c r="F12" s="15">
        <v>600</v>
      </c>
      <c r="G12" s="99">
        <v>1</v>
      </c>
      <c r="H12" s="83">
        <v>54</v>
      </c>
      <c r="I12" s="83">
        <v>4</v>
      </c>
      <c r="J12" s="67">
        <v>58</v>
      </c>
      <c r="K12" s="67">
        <v>2000</v>
      </c>
      <c r="L12" s="67">
        <v>2000</v>
      </c>
      <c r="M12" s="2"/>
      <c r="N12" s="121"/>
      <c r="O12" s="3"/>
    </row>
    <row r="13" spans="1:18" x14ac:dyDescent="0.25">
      <c r="A13" s="149"/>
      <c r="B13" s="16">
        <v>2</v>
      </c>
      <c r="C13" s="42">
        <v>27</v>
      </c>
      <c r="D13" s="42" t="s">
        <v>20</v>
      </c>
      <c r="E13" s="42" t="s">
        <v>27</v>
      </c>
      <c r="F13" s="17">
        <v>540</v>
      </c>
      <c r="G13" s="100">
        <v>0.6</v>
      </c>
      <c r="H13" s="84">
        <v>0</v>
      </c>
      <c r="I13" s="84">
        <v>0.5</v>
      </c>
      <c r="J13" s="68">
        <v>0.5</v>
      </c>
      <c r="K13" s="68">
        <v>250</v>
      </c>
      <c r="L13" s="68">
        <v>0</v>
      </c>
      <c r="M13" s="2"/>
      <c r="N13" s="121"/>
      <c r="O13" s="3"/>
    </row>
    <row r="14" spans="1:18" x14ac:dyDescent="0.25">
      <c r="A14" s="150" t="s">
        <v>15</v>
      </c>
      <c r="B14" s="18">
        <v>3</v>
      </c>
      <c r="C14" s="43">
        <v>31</v>
      </c>
      <c r="D14" s="43" t="s">
        <v>20</v>
      </c>
      <c r="E14" s="44" t="s">
        <v>26</v>
      </c>
      <c r="F14" s="19">
        <v>400</v>
      </c>
      <c r="G14" s="101">
        <v>1</v>
      </c>
      <c r="H14" s="85">
        <v>26.5</v>
      </c>
      <c r="I14" s="85">
        <v>5</v>
      </c>
      <c r="J14" s="69">
        <v>31.5</v>
      </c>
      <c r="K14" s="69">
        <v>1000</v>
      </c>
      <c r="L14" s="69">
        <v>750</v>
      </c>
      <c r="M14" s="2"/>
      <c r="N14" s="121"/>
      <c r="O14" s="3"/>
    </row>
    <row r="15" spans="1:18" x14ac:dyDescent="0.25">
      <c r="A15" s="150"/>
      <c r="B15" s="18">
        <v>3</v>
      </c>
      <c r="C15" s="44">
        <v>32</v>
      </c>
      <c r="D15" s="44" t="s">
        <v>20</v>
      </c>
      <c r="E15" s="44" t="s">
        <v>27</v>
      </c>
      <c r="F15" s="19">
        <v>600</v>
      </c>
      <c r="G15" s="101">
        <v>0.6</v>
      </c>
      <c r="H15" s="85">
        <v>0</v>
      </c>
      <c r="I15" s="85">
        <v>2</v>
      </c>
      <c r="J15" s="69">
        <v>2</v>
      </c>
      <c r="K15" s="69">
        <v>750</v>
      </c>
      <c r="L15" s="69">
        <v>0</v>
      </c>
      <c r="M15" s="2"/>
      <c r="N15" s="121"/>
      <c r="O15" s="3"/>
    </row>
    <row r="16" spans="1:18" x14ac:dyDescent="0.25">
      <c r="A16" s="150"/>
      <c r="B16" s="18">
        <v>3</v>
      </c>
      <c r="C16" s="44">
        <v>33</v>
      </c>
      <c r="D16" s="44" t="s">
        <v>20</v>
      </c>
      <c r="E16" s="44" t="s">
        <v>27</v>
      </c>
      <c r="F16" s="19">
        <v>600</v>
      </c>
      <c r="G16" s="101">
        <v>0.6</v>
      </c>
      <c r="H16" s="85">
        <v>0</v>
      </c>
      <c r="I16" s="85">
        <v>2</v>
      </c>
      <c r="J16" s="69">
        <v>2</v>
      </c>
      <c r="K16" s="69">
        <v>750</v>
      </c>
      <c r="L16" s="69">
        <v>0</v>
      </c>
      <c r="M16" s="2"/>
      <c r="N16" s="121"/>
      <c r="O16" s="3"/>
      <c r="R16" s="9"/>
    </row>
    <row r="17" spans="1:17" x14ac:dyDescent="0.25">
      <c r="A17" s="150"/>
      <c r="B17" s="18">
        <v>3</v>
      </c>
      <c r="C17" s="44">
        <v>34</v>
      </c>
      <c r="D17" s="44" t="s">
        <v>20</v>
      </c>
      <c r="E17" s="44" t="s">
        <v>27</v>
      </c>
      <c r="F17" s="19">
        <v>475</v>
      </c>
      <c r="G17" s="101">
        <v>0.6</v>
      </c>
      <c r="H17" s="85">
        <v>0</v>
      </c>
      <c r="I17" s="85">
        <v>2.5</v>
      </c>
      <c r="J17" s="69">
        <v>2.5</v>
      </c>
      <c r="K17" s="69">
        <v>250</v>
      </c>
      <c r="L17" s="69">
        <v>0</v>
      </c>
      <c r="M17" s="2"/>
      <c r="N17" s="121"/>
      <c r="O17" s="3"/>
    </row>
    <row r="18" spans="1:17" x14ac:dyDescent="0.25">
      <c r="A18" s="150"/>
      <c r="B18" s="18">
        <v>3</v>
      </c>
      <c r="C18" s="44">
        <v>35</v>
      </c>
      <c r="D18" s="44" t="s">
        <v>20</v>
      </c>
      <c r="E18" s="44" t="s">
        <v>27</v>
      </c>
      <c r="F18" s="19">
        <v>350</v>
      </c>
      <c r="G18" s="101">
        <v>0.6</v>
      </c>
      <c r="H18" s="85">
        <v>0</v>
      </c>
      <c r="I18" s="85">
        <v>2.5</v>
      </c>
      <c r="J18" s="69">
        <v>2.5</v>
      </c>
      <c r="K18" s="69">
        <v>250</v>
      </c>
      <c r="L18" s="69">
        <v>0</v>
      </c>
      <c r="M18" s="2"/>
      <c r="N18" s="121"/>
      <c r="O18" s="3"/>
    </row>
    <row r="19" spans="1:17" x14ac:dyDescent="0.25">
      <c r="A19" s="150"/>
      <c r="B19" s="18">
        <v>3</v>
      </c>
      <c r="C19" s="44">
        <v>36</v>
      </c>
      <c r="D19" s="44" t="s">
        <v>20</v>
      </c>
      <c r="E19" s="44" t="s">
        <v>28</v>
      </c>
      <c r="F19" s="19">
        <v>375</v>
      </c>
      <c r="G19" s="101">
        <v>0.35</v>
      </c>
      <c r="H19" s="85">
        <v>0</v>
      </c>
      <c r="I19" s="85">
        <v>3.8</v>
      </c>
      <c r="J19" s="69">
        <v>3.8</v>
      </c>
      <c r="K19" s="69">
        <v>750</v>
      </c>
      <c r="L19" s="69">
        <v>0</v>
      </c>
      <c r="M19" s="2"/>
      <c r="N19" s="121"/>
      <c r="O19" s="3"/>
    </row>
    <row r="20" spans="1:17" x14ac:dyDescent="0.25">
      <c r="A20" s="150"/>
      <c r="B20" s="18">
        <v>3</v>
      </c>
      <c r="C20" s="44">
        <v>37</v>
      </c>
      <c r="D20" s="44" t="s">
        <v>20</v>
      </c>
      <c r="E20" s="44" t="s">
        <v>28</v>
      </c>
      <c r="F20" s="19">
        <v>375</v>
      </c>
      <c r="G20" s="101">
        <v>0.35</v>
      </c>
      <c r="H20" s="85">
        <v>0</v>
      </c>
      <c r="I20" s="85">
        <v>4</v>
      </c>
      <c r="J20" s="69">
        <v>4</v>
      </c>
      <c r="K20" s="69">
        <v>750</v>
      </c>
      <c r="L20" s="69">
        <v>0</v>
      </c>
      <c r="M20" s="2"/>
      <c r="N20" s="121"/>
      <c r="O20" s="3"/>
    </row>
    <row r="21" spans="1:17" x14ac:dyDescent="0.25">
      <c r="A21" s="150"/>
      <c r="B21" s="20">
        <v>3</v>
      </c>
      <c r="C21" s="45">
        <v>38</v>
      </c>
      <c r="D21" s="45" t="s">
        <v>20</v>
      </c>
      <c r="E21" s="45" t="s">
        <v>28</v>
      </c>
      <c r="F21" s="21">
        <v>375</v>
      </c>
      <c r="G21" s="102">
        <v>0.35</v>
      </c>
      <c r="H21" s="86">
        <v>0</v>
      </c>
      <c r="I21" s="86">
        <v>4</v>
      </c>
      <c r="J21" s="70">
        <v>4</v>
      </c>
      <c r="K21" s="70">
        <v>750</v>
      </c>
      <c r="L21" s="70">
        <v>0</v>
      </c>
      <c r="M21" s="2"/>
      <c r="N21" s="121"/>
      <c r="O21" s="3"/>
    </row>
    <row r="22" spans="1:17" x14ac:dyDescent="0.25">
      <c r="A22" s="151" t="s">
        <v>16</v>
      </c>
      <c r="B22" s="22">
        <v>4</v>
      </c>
      <c r="C22" s="46">
        <v>41</v>
      </c>
      <c r="D22" s="46" t="s">
        <v>20</v>
      </c>
      <c r="E22" s="47" t="s">
        <v>23</v>
      </c>
      <c r="F22" s="23">
        <v>820</v>
      </c>
      <c r="G22" s="103">
        <v>0.7</v>
      </c>
      <c r="H22" s="87">
        <v>0</v>
      </c>
      <c r="I22" s="87">
        <v>1.5</v>
      </c>
      <c r="J22" s="71">
        <v>1.5</v>
      </c>
      <c r="K22" s="71">
        <v>2500</v>
      </c>
      <c r="L22" s="71">
        <v>0</v>
      </c>
      <c r="M22" s="2"/>
      <c r="N22" s="121"/>
      <c r="O22" s="3"/>
    </row>
    <row r="23" spans="1:17" x14ac:dyDescent="0.25">
      <c r="A23" s="151"/>
      <c r="B23" s="22">
        <v>4</v>
      </c>
      <c r="C23" s="47">
        <v>42</v>
      </c>
      <c r="D23" s="47" t="s">
        <v>20</v>
      </c>
      <c r="E23" s="47" t="s">
        <v>23</v>
      </c>
      <c r="F23" s="23">
        <v>780</v>
      </c>
      <c r="G23" s="103">
        <v>0.7</v>
      </c>
      <c r="H23" s="87">
        <v>0</v>
      </c>
      <c r="I23" s="87">
        <v>1.5</v>
      </c>
      <c r="J23" s="71">
        <v>1.5</v>
      </c>
      <c r="K23" s="71">
        <v>2000</v>
      </c>
      <c r="L23" s="71">
        <v>0</v>
      </c>
      <c r="M23" s="2"/>
      <c r="N23" s="121"/>
      <c r="O23" s="3"/>
    </row>
    <row r="24" spans="1:17" x14ac:dyDescent="0.25">
      <c r="A24" s="151"/>
      <c r="B24" s="22">
        <v>4</v>
      </c>
      <c r="C24" s="47">
        <v>43</v>
      </c>
      <c r="D24" s="47" t="s">
        <v>20</v>
      </c>
      <c r="E24" s="47" t="s">
        <v>23</v>
      </c>
      <c r="F24" s="23">
        <v>700</v>
      </c>
      <c r="G24" s="103">
        <v>0.7</v>
      </c>
      <c r="H24" s="87">
        <v>0</v>
      </c>
      <c r="I24" s="87">
        <v>1.5</v>
      </c>
      <c r="J24" s="71">
        <v>1.5</v>
      </c>
      <c r="K24" s="71">
        <v>2000</v>
      </c>
      <c r="L24" s="71">
        <v>0</v>
      </c>
      <c r="M24" s="2"/>
      <c r="N24" s="121"/>
      <c r="O24" s="3"/>
      <c r="Q24" s="8"/>
    </row>
    <row r="25" spans="1:17" x14ac:dyDescent="0.25">
      <c r="A25" s="151"/>
      <c r="B25" s="22">
        <v>4</v>
      </c>
      <c r="C25" s="47">
        <v>44</v>
      </c>
      <c r="D25" s="47" t="s">
        <v>20</v>
      </c>
      <c r="E25" s="47" t="s">
        <v>29</v>
      </c>
      <c r="F25" s="23">
        <v>425</v>
      </c>
      <c r="G25" s="103">
        <v>0.9</v>
      </c>
      <c r="H25" s="87">
        <v>0</v>
      </c>
      <c r="I25" s="87">
        <v>3</v>
      </c>
      <c r="J25" s="71">
        <v>3</v>
      </c>
      <c r="K25" s="71">
        <v>1250</v>
      </c>
      <c r="L25" s="71">
        <v>0</v>
      </c>
      <c r="M25" s="2"/>
      <c r="N25" s="121"/>
      <c r="O25" s="3"/>
    </row>
    <row r="26" spans="1:17" x14ac:dyDescent="0.25">
      <c r="A26" s="151"/>
      <c r="B26" s="22">
        <v>4</v>
      </c>
      <c r="C26" s="47">
        <v>45</v>
      </c>
      <c r="D26" s="47" t="s">
        <v>20</v>
      </c>
      <c r="E26" s="47" t="s">
        <v>29</v>
      </c>
      <c r="F26" s="23">
        <v>425</v>
      </c>
      <c r="G26" s="103">
        <v>0.9</v>
      </c>
      <c r="H26" s="87">
        <v>0</v>
      </c>
      <c r="I26" s="87">
        <v>3</v>
      </c>
      <c r="J26" s="71">
        <v>3</v>
      </c>
      <c r="K26" s="71">
        <v>1250</v>
      </c>
      <c r="L26" s="71">
        <v>0</v>
      </c>
      <c r="M26" s="2"/>
      <c r="N26" s="121"/>
      <c r="O26" s="3"/>
    </row>
    <row r="27" spans="1:17" x14ac:dyDescent="0.25">
      <c r="A27" s="151"/>
      <c r="B27" s="22">
        <v>4</v>
      </c>
      <c r="C27" s="47">
        <v>46</v>
      </c>
      <c r="D27" s="47" t="s">
        <v>20</v>
      </c>
      <c r="E27" s="47" t="s">
        <v>26</v>
      </c>
      <c r="F27" s="23">
        <v>225</v>
      </c>
      <c r="G27" s="103">
        <v>1</v>
      </c>
      <c r="H27" s="87">
        <v>35</v>
      </c>
      <c r="I27" s="87">
        <v>3.5</v>
      </c>
      <c r="J27" s="71">
        <v>38.5</v>
      </c>
      <c r="K27" s="71">
        <v>1500</v>
      </c>
      <c r="L27" s="71">
        <v>1000</v>
      </c>
      <c r="M27" s="2"/>
      <c r="N27" s="121"/>
      <c r="O27" s="3"/>
    </row>
    <row r="28" spans="1:17" x14ac:dyDescent="0.25">
      <c r="A28" s="151"/>
      <c r="B28" s="24">
        <v>4</v>
      </c>
      <c r="C28" s="48">
        <v>47</v>
      </c>
      <c r="D28" s="48" t="s">
        <v>20</v>
      </c>
      <c r="E28" s="48" t="s">
        <v>26</v>
      </c>
      <c r="F28" s="25">
        <v>175</v>
      </c>
      <c r="G28" s="104">
        <v>1</v>
      </c>
      <c r="H28" s="88">
        <v>38</v>
      </c>
      <c r="I28" s="88">
        <v>3.5</v>
      </c>
      <c r="J28" s="72">
        <v>41.5</v>
      </c>
      <c r="K28" s="72">
        <v>3500</v>
      </c>
      <c r="L28" s="72">
        <v>1500</v>
      </c>
      <c r="M28" s="2"/>
      <c r="N28" s="121"/>
      <c r="O28" s="3"/>
    </row>
    <row r="29" spans="1:17" x14ac:dyDescent="0.25">
      <c r="A29" s="153" t="s">
        <v>17</v>
      </c>
      <c r="B29" s="57">
        <v>5</v>
      </c>
      <c r="C29" s="49">
        <v>51</v>
      </c>
      <c r="D29" s="49" t="s">
        <v>21</v>
      </c>
      <c r="E29" s="49" t="s">
        <v>30</v>
      </c>
      <c r="F29" s="26">
        <v>1100</v>
      </c>
      <c r="G29" s="105">
        <v>1</v>
      </c>
      <c r="H29" s="89">
        <v>10</v>
      </c>
      <c r="I29" s="89">
        <v>0.5</v>
      </c>
      <c r="J29" s="73">
        <v>10.5</v>
      </c>
      <c r="K29" s="73">
        <v>2000</v>
      </c>
      <c r="L29" s="73">
        <v>7500</v>
      </c>
      <c r="M29" s="2"/>
      <c r="N29" s="121"/>
      <c r="O29" s="3"/>
    </row>
    <row r="30" spans="1:17" x14ac:dyDescent="0.25">
      <c r="A30" s="154"/>
      <c r="B30" s="112">
        <v>5</v>
      </c>
      <c r="C30" s="113">
        <v>52</v>
      </c>
      <c r="D30" s="113" t="s">
        <v>21</v>
      </c>
      <c r="E30" s="113" t="s">
        <v>30</v>
      </c>
      <c r="F30" s="114">
        <v>950</v>
      </c>
      <c r="G30" s="115">
        <v>1</v>
      </c>
      <c r="H30" s="116">
        <v>10</v>
      </c>
      <c r="I30" s="116">
        <v>0.5</v>
      </c>
      <c r="J30" s="117">
        <v>10.5</v>
      </c>
      <c r="K30" s="117">
        <v>2000</v>
      </c>
      <c r="L30" s="117">
        <v>7500</v>
      </c>
      <c r="M30" s="2"/>
      <c r="N30" s="121"/>
      <c r="O30" s="3"/>
    </row>
    <row r="31" spans="1:17" x14ac:dyDescent="0.25">
      <c r="A31" s="154"/>
      <c r="B31" s="112">
        <v>5</v>
      </c>
      <c r="C31" s="113">
        <v>53</v>
      </c>
      <c r="D31" s="113" t="s">
        <v>21</v>
      </c>
      <c r="E31" s="113" t="s">
        <v>25</v>
      </c>
      <c r="F31" s="114">
        <v>650</v>
      </c>
      <c r="G31" s="115">
        <v>1</v>
      </c>
      <c r="H31" s="116">
        <v>0</v>
      </c>
      <c r="I31" s="116">
        <v>1.5</v>
      </c>
      <c r="J31" s="117">
        <v>1.5</v>
      </c>
      <c r="K31" s="117">
        <v>750</v>
      </c>
      <c r="L31" s="117">
        <v>0</v>
      </c>
      <c r="M31" s="2"/>
      <c r="N31" s="121"/>
      <c r="O31" s="3"/>
    </row>
    <row r="32" spans="1:17" x14ac:dyDescent="0.25">
      <c r="A32" s="154"/>
      <c r="B32" s="112">
        <v>5</v>
      </c>
      <c r="C32" s="113">
        <v>54</v>
      </c>
      <c r="D32" s="113" t="s">
        <v>21</v>
      </c>
      <c r="E32" s="113" t="s">
        <v>25</v>
      </c>
      <c r="F32" s="114">
        <v>450</v>
      </c>
      <c r="G32" s="115">
        <v>1</v>
      </c>
      <c r="H32" s="116">
        <v>0</v>
      </c>
      <c r="I32" s="116">
        <v>1.5</v>
      </c>
      <c r="J32" s="117">
        <v>1.5</v>
      </c>
      <c r="K32" s="117">
        <v>750</v>
      </c>
      <c r="L32" s="117">
        <v>0</v>
      </c>
      <c r="M32" s="2"/>
      <c r="N32" s="121"/>
      <c r="O32" s="3"/>
    </row>
    <row r="33" spans="1:15" x14ac:dyDescent="0.25">
      <c r="A33" s="155"/>
      <c r="B33" s="27">
        <v>5</v>
      </c>
      <c r="C33" s="50">
        <v>55</v>
      </c>
      <c r="D33" s="50" t="s">
        <v>21</v>
      </c>
      <c r="E33" s="50" t="s">
        <v>28</v>
      </c>
      <c r="F33" s="28">
        <v>400</v>
      </c>
      <c r="G33" s="106">
        <v>0.35</v>
      </c>
      <c r="H33" s="90">
        <v>0</v>
      </c>
      <c r="I33" s="90">
        <v>3.5</v>
      </c>
      <c r="J33" s="74">
        <v>3.5</v>
      </c>
      <c r="K33" s="74">
        <v>250</v>
      </c>
      <c r="L33" s="74">
        <v>0</v>
      </c>
      <c r="M33" s="2"/>
      <c r="N33" s="121"/>
      <c r="O33" s="3"/>
    </row>
    <row r="34" spans="1:15" x14ac:dyDescent="0.25">
      <c r="A34" s="152" t="s">
        <v>18</v>
      </c>
      <c r="B34" s="58">
        <v>6</v>
      </c>
      <c r="C34" s="59">
        <v>61</v>
      </c>
      <c r="D34" s="59" t="s">
        <v>21</v>
      </c>
      <c r="E34" s="59" t="s">
        <v>27</v>
      </c>
      <c r="F34" s="60">
        <v>950</v>
      </c>
      <c r="G34" s="107">
        <v>0.6</v>
      </c>
      <c r="H34" s="91">
        <v>0</v>
      </c>
      <c r="I34" s="91">
        <v>0.5</v>
      </c>
      <c r="J34" s="75">
        <v>0.5</v>
      </c>
      <c r="K34" s="75">
        <v>500</v>
      </c>
      <c r="L34" s="75">
        <v>0</v>
      </c>
      <c r="M34" s="2"/>
      <c r="N34" s="121"/>
      <c r="O34" s="3"/>
    </row>
    <row r="35" spans="1:15" x14ac:dyDescent="0.25">
      <c r="A35" s="152"/>
      <c r="B35" s="33">
        <v>6</v>
      </c>
      <c r="C35" s="51">
        <v>62</v>
      </c>
      <c r="D35" s="51" t="s">
        <v>21</v>
      </c>
      <c r="E35" s="51" t="s">
        <v>27</v>
      </c>
      <c r="F35" s="34">
        <v>875</v>
      </c>
      <c r="G35" s="108">
        <v>0.6</v>
      </c>
      <c r="H35" s="92">
        <v>0</v>
      </c>
      <c r="I35" s="92">
        <v>2.5</v>
      </c>
      <c r="J35" s="76">
        <v>2.5</v>
      </c>
      <c r="K35" s="76">
        <v>500</v>
      </c>
      <c r="L35" s="76">
        <v>0</v>
      </c>
      <c r="M35" s="2"/>
      <c r="N35" s="121"/>
      <c r="O35" s="3"/>
    </row>
    <row r="36" spans="1:15" x14ac:dyDescent="0.25">
      <c r="A36" s="152"/>
      <c r="B36" s="33">
        <v>6</v>
      </c>
      <c r="C36" s="51">
        <v>63</v>
      </c>
      <c r="D36" s="51" t="s">
        <v>21</v>
      </c>
      <c r="E36" s="51" t="s">
        <v>25</v>
      </c>
      <c r="F36" s="34">
        <v>300</v>
      </c>
      <c r="G36" s="108">
        <v>1</v>
      </c>
      <c r="H36" s="92">
        <v>0</v>
      </c>
      <c r="I36" s="92">
        <v>2.5</v>
      </c>
      <c r="J36" s="76">
        <v>2.5</v>
      </c>
      <c r="K36" s="76">
        <v>1250</v>
      </c>
      <c r="L36" s="76">
        <v>0</v>
      </c>
      <c r="M36" s="2"/>
      <c r="N36" s="121"/>
      <c r="O36" s="3"/>
    </row>
    <row r="37" spans="1:15" x14ac:dyDescent="0.25">
      <c r="A37" s="152"/>
      <c r="B37" s="33">
        <v>6</v>
      </c>
      <c r="C37" s="51">
        <v>64</v>
      </c>
      <c r="D37" s="51" t="s">
        <v>21</v>
      </c>
      <c r="E37" s="51" t="s">
        <v>25</v>
      </c>
      <c r="F37" s="34">
        <v>225</v>
      </c>
      <c r="G37" s="108">
        <v>1</v>
      </c>
      <c r="H37" s="92">
        <v>0</v>
      </c>
      <c r="I37" s="92">
        <v>3</v>
      </c>
      <c r="J37" s="76">
        <v>3</v>
      </c>
      <c r="K37" s="76">
        <v>1000</v>
      </c>
      <c r="L37" s="76">
        <v>0</v>
      </c>
      <c r="M37" s="2"/>
      <c r="N37" s="121"/>
      <c r="O37" s="3"/>
    </row>
    <row r="38" spans="1:15" x14ac:dyDescent="0.25">
      <c r="A38" s="152"/>
      <c r="B38" s="33">
        <v>6</v>
      </c>
      <c r="C38" s="51">
        <v>65</v>
      </c>
      <c r="D38" s="51" t="s">
        <v>21</v>
      </c>
      <c r="E38" s="51" t="s">
        <v>26</v>
      </c>
      <c r="F38" s="34">
        <v>650</v>
      </c>
      <c r="G38" s="108">
        <v>1</v>
      </c>
      <c r="H38" s="92">
        <v>34</v>
      </c>
      <c r="I38" s="92">
        <v>0.5</v>
      </c>
      <c r="J38" s="76">
        <v>34.5</v>
      </c>
      <c r="K38" s="76">
        <v>1500</v>
      </c>
      <c r="L38" s="76">
        <v>1000</v>
      </c>
      <c r="M38" s="2"/>
      <c r="N38" s="121"/>
      <c r="O38" s="3"/>
    </row>
    <row r="39" spans="1:15" x14ac:dyDescent="0.25">
      <c r="A39" s="152"/>
      <c r="B39" s="35">
        <v>6</v>
      </c>
      <c r="C39" s="52">
        <v>66</v>
      </c>
      <c r="D39" s="52" t="s">
        <v>21</v>
      </c>
      <c r="E39" s="52" t="s">
        <v>26</v>
      </c>
      <c r="F39" s="36">
        <v>550</v>
      </c>
      <c r="G39" s="109">
        <v>1</v>
      </c>
      <c r="H39" s="93">
        <v>37</v>
      </c>
      <c r="I39" s="93">
        <v>0.5</v>
      </c>
      <c r="J39" s="77">
        <v>37.5</v>
      </c>
      <c r="K39" s="77">
        <v>1750</v>
      </c>
      <c r="L39" s="77">
        <v>1250</v>
      </c>
      <c r="M39" s="2"/>
      <c r="N39" s="121"/>
      <c r="O39" s="3"/>
    </row>
    <row r="40" spans="1:15" x14ac:dyDescent="0.25">
      <c r="A40" s="145" t="s">
        <v>19</v>
      </c>
      <c r="B40" s="29">
        <v>7</v>
      </c>
      <c r="C40" s="53">
        <v>71</v>
      </c>
      <c r="D40" s="53" t="s">
        <v>21</v>
      </c>
      <c r="E40" s="53" t="s">
        <v>31</v>
      </c>
      <c r="F40" s="30">
        <v>1625</v>
      </c>
      <c r="G40" s="110">
        <v>1</v>
      </c>
      <c r="H40" s="94">
        <v>21</v>
      </c>
      <c r="I40" s="94">
        <v>22.5</v>
      </c>
      <c r="J40" s="78">
        <v>43.5</v>
      </c>
      <c r="K40" s="78">
        <v>2500</v>
      </c>
      <c r="L40" s="78">
        <v>3000</v>
      </c>
      <c r="M40" s="2"/>
      <c r="N40" s="121"/>
      <c r="O40" s="3"/>
    </row>
    <row r="41" spans="1:15" x14ac:dyDescent="0.25">
      <c r="A41" s="145"/>
      <c r="B41" s="29">
        <v>7</v>
      </c>
      <c r="C41" s="53">
        <v>72</v>
      </c>
      <c r="D41" s="53" t="s">
        <v>21</v>
      </c>
      <c r="E41" s="53" t="s">
        <v>31</v>
      </c>
      <c r="F41" s="30">
        <v>1625</v>
      </c>
      <c r="G41" s="110">
        <v>1</v>
      </c>
      <c r="H41" s="94">
        <v>21</v>
      </c>
      <c r="I41" s="94">
        <v>22.5</v>
      </c>
      <c r="J41" s="78">
        <v>43.5</v>
      </c>
      <c r="K41" s="78">
        <v>2500</v>
      </c>
      <c r="L41" s="78">
        <v>3000</v>
      </c>
      <c r="M41" s="2"/>
      <c r="N41" s="121"/>
      <c r="O41" s="3"/>
    </row>
    <row r="42" spans="1:15" x14ac:dyDescent="0.25">
      <c r="A42" s="145"/>
      <c r="B42" s="29">
        <v>7</v>
      </c>
      <c r="C42" s="53">
        <v>73</v>
      </c>
      <c r="D42" s="53" t="s">
        <v>21</v>
      </c>
      <c r="E42" s="53" t="s">
        <v>28</v>
      </c>
      <c r="F42" s="30">
        <v>450</v>
      </c>
      <c r="G42" s="110">
        <v>0.35</v>
      </c>
      <c r="H42" s="94">
        <v>0</v>
      </c>
      <c r="I42" s="94">
        <v>4</v>
      </c>
      <c r="J42" s="78">
        <v>4</v>
      </c>
      <c r="K42" s="78">
        <v>500</v>
      </c>
      <c r="L42" s="78">
        <v>0</v>
      </c>
      <c r="M42" s="2"/>
      <c r="N42" s="121"/>
      <c r="O42" s="3"/>
    </row>
    <row r="43" spans="1:15" x14ac:dyDescent="0.25">
      <c r="A43" s="145"/>
      <c r="B43" s="29">
        <v>7</v>
      </c>
      <c r="C43" s="53">
        <v>74</v>
      </c>
      <c r="D43" s="53" t="s">
        <v>21</v>
      </c>
      <c r="E43" s="53" t="s">
        <v>28</v>
      </c>
      <c r="F43" s="30">
        <v>225</v>
      </c>
      <c r="G43" s="110">
        <v>0.35</v>
      </c>
      <c r="H43" s="94">
        <v>0</v>
      </c>
      <c r="I43" s="94">
        <v>4</v>
      </c>
      <c r="J43" s="78">
        <v>4</v>
      </c>
      <c r="K43" s="78">
        <v>500</v>
      </c>
      <c r="L43" s="78">
        <v>0</v>
      </c>
      <c r="M43" s="2"/>
      <c r="N43" s="121"/>
      <c r="O43" s="3"/>
    </row>
    <row r="44" spans="1:15" x14ac:dyDescent="0.25">
      <c r="A44" s="146"/>
      <c r="B44" s="31">
        <v>7</v>
      </c>
      <c r="C44" s="54">
        <v>75</v>
      </c>
      <c r="D44" s="54" t="s">
        <v>21</v>
      </c>
      <c r="E44" s="54" t="s">
        <v>26</v>
      </c>
      <c r="F44" s="32">
        <v>680</v>
      </c>
      <c r="G44" s="111">
        <v>1</v>
      </c>
      <c r="H44" s="95">
        <v>54</v>
      </c>
      <c r="I44" s="95">
        <v>4</v>
      </c>
      <c r="J44" s="79">
        <v>58</v>
      </c>
      <c r="K44" s="79">
        <v>1500</v>
      </c>
      <c r="L44" s="79">
        <v>1250</v>
      </c>
      <c r="M44" s="2"/>
      <c r="N44" s="121"/>
      <c r="O44" s="3"/>
    </row>
  </sheetData>
  <mergeCells count="7">
    <mergeCell ref="A40:A44"/>
    <mergeCell ref="A2:A6"/>
    <mergeCell ref="A7:A13"/>
    <mergeCell ref="A14:A21"/>
    <mergeCell ref="A22:A28"/>
    <mergeCell ref="A34:A39"/>
    <mergeCell ref="A29:A33"/>
  </mergeCells>
  <pageMargins left="0.7" right="0.7" top="0.75" bottom="0.75" header="0.3" footer="0.3"/>
  <pageSetup orientation="portrait" r:id="rId1"/>
  <headerFooter>
    <oddFooter>&amp;L_x000D_&amp;1#&amp;"Aptos"&amp;10&amp;K000000  PGE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F92F-816B-44B1-8A74-ED6A77F0B078}">
  <dimension ref="A1"/>
  <sheetViews>
    <sheetView workbookViewId="0">
      <selection activeCell="Z14" sqref="Z14"/>
    </sheetView>
  </sheetViews>
  <sheetFormatPr defaultRowHeight="15" x14ac:dyDescent="0.25"/>
  <sheetData/>
  <pageMargins left="0.7" right="0.7" top="0.75" bottom="0.75" header="0.3" footer="0.3"/>
  <pageSetup orientation="portrait" horizontalDpi="360" verticalDpi="360" r:id="rId1"/>
  <headerFooter>
    <oddFooter>&amp;L_x000D_&amp;1#&amp;"Aptos"&amp;10&amp;K000000  PGE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1FB9-FD70-4773-8804-A24B39C4D9A4}">
  <dimension ref="A1:AH36"/>
  <sheetViews>
    <sheetView workbookViewId="0">
      <selection activeCell="S22" sqref="S22"/>
    </sheetView>
  </sheetViews>
  <sheetFormatPr defaultRowHeight="15" x14ac:dyDescent="0.25"/>
  <cols>
    <col min="1" max="1" width="14.7109375" customWidth="1"/>
    <col min="3" max="3" width="5.5703125" style="131" bestFit="1" customWidth="1"/>
    <col min="4" max="4" width="16.140625" bestFit="1" customWidth="1"/>
    <col min="5" max="5" width="15" bestFit="1" customWidth="1"/>
    <col min="6" max="6" width="17.7109375" bestFit="1" customWidth="1"/>
    <col min="7" max="7" width="16.5703125" bestFit="1" customWidth="1"/>
    <col min="8" max="8" width="16.85546875" bestFit="1" customWidth="1"/>
    <col min="9" max="9" width="9.28515625" customWidth="1"/>
    <col min="10" max="10" width="8.7109375" bestFit="1" customWidth="1"/>
    <col min="11" max="12" width="9.7109375" customWidth="1"/>
    <col min="13" max="13" width="17.140625" customWidth="1"/>
    <col min="14" max="15" width="16.5703125" customWidth="1"/>
    <col min="16" max="16" width="14.28515625" bestFit="1" customWidth="1"/>
    <col min="17" max="17" width="16.5703125" bestFit="1" customWidth="1"/>
    <col min="18" max="18" width="16.85546875" bestFit="1" customWidth="1"/>
    <col min="19" max="19" width="11" bestFit="1" customWidth="1"/>
    <col min="20" max="20" width="9.7109375" customWidth="1"/>
    <col min="21" max="21" width="15.85546875" customWidth="1"/>
    <col min="22" max="34" width="9.7109375" customWidth="1"/>
  </cols>
  <sheetData>
    <row r="1" spans="1:34" ht="18.75" x14ac:dyDescent="0.3">
      <c r="A1" s="126"/>
      <c r="B1" s="126"/>
      <c r="C1" s="129"/>
      <c r="E1" s="126"/>
      <c r="F1" s="126"/>
      <c r="G1" s="139">
        <v>1</v>
      </c>
      <c r="H1" s="139">
        <v>2</v>
      </c>
      <c r="I1" s="139">
        <v>3</v>
      </c>
      <c r="J1" s="139">
        <v>4</v>
      </c>
      <c r="K1" s="126"/>
      <c r="L1" s="126"/>
    </row>
    <row r="2" spans="1:34" ht="18.75" x14ac:dyDescent="0.3">
      <c r="A2" s="126"/>
      <c r="B2" s="126"/>
      <c r="C2" s="129"/>
      <c r="D2" s="126"/>
      <c r="E2" s="126"/>
      <c r="F2" s="126"/>
      <c r="G2" s="136">
        <v>6</v>
      </c>
      <c r="H2" s="136">
        <v>7</v>
      </c>
      <c r="I2" s="136">
        <v>8</v>
      </c>
      <c r="J2" s="136">
        <v>9</v>
      </c>
      <c r="K2" s="144" t="s">
        <v>52</v>
      </c>
      <c r="L2" s="126"/>
    </row>
    <row r="3" spans="1:34" ht="15.75" x14ac:dyDescent="0.25">
      <c r="A3" s="6"/>
      <c r="B3" s="118" t="s">
        <v>36</v>
      </c>
      <c r="C3" s="128" t="s">
        <v>41</v>
      </c>
      <c r="D3" s="135" t="s">
        <v>37</v>
      </c>
      <c r="E3" s="135" t="s">
        <v>38</v>
      </c>
      <c r="F3" s="135" t="s">
        <v>54</v>
      </c>
      <c r="G3" s="135" t="s">
        <v>23</v>
      </c>
      <c r="H3" s="135" t="s">
        <v>28</v>
      </c>
      <c r="I3" s="135" t="s">
        <v>27</v>
      </c>
      <c r="J3" s="135" t="s">
        <v>29</v>
      </c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</row>
    <row r="4" spans="1:34" ht="15.75" x14ac:dyDescent="0.25">
      <c r="A4" s="137">
        <v>1</v>
      </c>
      <c r="B4" s="119">
        <v>1</v>
      </c>
      <c r="C4" s="130">
        <v>11</v>
      </c>
      <c r="D4" s="130">
        <v>7288.8343744355952</v>
      </c>
      <c r="E4" s="143">
        <v>3916.4116821951307</v>
      </c>
      <c r="F4" s="119">
        <v>9999</v>
      </c>
      <c r="G4" s="123">
        <v>0.54509912086794587</v>
      </c>
      <c r="H4" s="123">
        <v>5.5797367722411444E-2</v>
      </c>
      <c r="I4" s="123">
        <v>0.44438287795640707</v>
      </c>
      <c r="J4" s="123">
        <v>0.87775555973574992</v>
      </c>
      <c r="K4" s="119"/>
    </row>
    <row r="5" spans="1:34" x14ac:dyDescent="0.25">
      <c r="A5" s="138">
        <v>2</v>
      </c>
      <c r="B5" s="119">
        <v>1</v>
      </c>
      <c r="C5" s="130">
        <v>12</v>
      </c>
      <c r="D5" s="130">
        <v>4180.4883599165878</v>
      </c>
      <c r="E5" s="143">
        <v>1998.9206605158615</v>
      </c>
      <c r="F5" s="119">
        <v>9999</v>
      </c>
      <c r="G5" s="123">
        <v>1</v>
      </c>
      <c r="H5" s="123">
        <v>0.7086320544697684</v>
      </c>
      <c r="I5" s="123">
        <v>1</v>
      </c>
      <c r="J5" s="123">
        <v>0.91193024234651532</v>
      </c>
    </row>
    <row r="6" spans="1:34" ht="15.75" x14ac:dyDescent="0.25">
      <c r="A6" s="137">
        <v>3</v>
      </c>
      <c r="B6" s="119">
        <v>1</v>
      </c>
      <c r="C6" s="130">
        <v>13</v>
      </c>
      <c r="D6" s="130">
        <v>1611.0052057189223</v>
      </c>
      <c r="E6" s="143">
        <v>6161.0891488113248</v>
      </c>
      <c r="F6" s="119">
        <v>9999</v>
      </c>
      <c r="G6" s="123">
        <v>0.59113402346411026</v>
      </c>
      <c r="H6" s="123">
        <v>0.44947750155632576</v>
      </c>
      <c r="I6" s="123">
        <v>0.7911693577328841</v>
      </c>
      <c r="J6" s="123">
        <v>0.86509151056378952</v>
      </c>
      <c r="P6" s="156" t="s">
        <v>48</v>
      </c>
      <c r="Q6" s="156"/>
    </row>
    <row r="7" spans="1:34" x14ac:dyDescent="0.25">
      <c r="A7" s="138">
        <v>4</v>
      </c>
      <c r="B7" s="119">
        <v>1</v>
      </c>
      <c r="C7" s="130">
        <v>14</v>
      </c>
      <c r="D7" s="130">
        <v>7446.9479501076594</v>
      </c>
      <c r="E7" s="143">
        <v>5172.0741526991369</v>
      </c>
      <c r="F7" s="119">
        <v>9999</v>
      </c>
      <c r="G7" s="123">
        <v>0.21486810513457685</v>
      </c>
      <c r="H7" s="123">
        <v>0.11977743004956157</v>
      </c>
      <c r="I7" s="123">
        <v>0.23501107097533397</v>
      </c>
      <c r="J7" s="123">
        <v>0.92793645787164869</v>
      </c>
      <c r="P7" t="s">
        <v>31</v>
      </c>
      <c r="Q7">
        <v>1</v>
      </c>
    </row>
    <row r="8" spans="1:34" ht="15.75" x14ac:dyDescent="0.25">
      <c r="A8" s="137"/>
      <c r="B8" s="119"/>
      <c r="C8" s="130"/>
      <c r="D8" s="130"/>
      <c r="E8" s="143"/>
      <c r="F8" s="119"/>
      <c r="G8" s="123"/>
      <c r="H8" s="123"/>
      <c r="I8" s="123"/>
      <c r="J8" s="123"/>
      <c r="P8" t="s">
        <v>24</v>
      </c>
      <c r="Q8">
        <v>2</v>
      </c>
    </row>
    <row r="9" spans="1:34" ht="18.75" x14ac:dyDescent="0.3">
      <c r="A9" s="138"/>
      <c r="B9" s="119"/>
      <c r="C9" s="130"/>
      <c r="D9" s="126" t="s">
        <v>57</v>
      </c>
      <c r="E9" s="143"/>
      <c r="F9" s="119"/>
      <c r="G9" s="123"/>
      <c r="H9" s="123"/>
      <c r="I9" s="123"/>
      <c r="J9" s="123"/>
      <c r="M9" s="156" t="s">
        <v>56</v>
      </c>
      <c r="N9" s="156"/>
      <c r="O9" s="141"/>
      <c r="P9" t="s">
        <v>25</v>
      </c>
      <c r="Q9">
        <v>3</v>
      </c>
    </row>
    <row r="10" spans="1:34" ht="15.75" x14ac:dyDescent="0.25">
      <c r="A10" s="137"/>
      <c r="B10" s="119"/>
      <c r="C10" s="130"/>
      <c r="D10" s="130"/>
      <c r="E10" s="143"/>
      <c r="F10" s="119"/>
      <c r="G10" s="123"/>
      <c r="H10" s="123"/>
      <c r="I10" s="123"/>
      <c r="J10" s="123"/>
      <c r="M10" s="9" t="s">
        <v>37</v>
      </c>
      <c r="N10" s="9" t="s">
        <v>38</v>
      </c>
      <c r="O10" s="9"/>
      <c r="P10" t="s">
        <v>26</v>
      </c>
      <c r="Q10">
        <v>4</v>
      </c>
    </row>
    <row r="11" spans="1:34" x14ac:dyDescent="0.25">
      <c r="A11" s="138"/>
      <c r="B11" s="119"/>
      <c r="C11" s="130"/>
      <c r="D11" s="130"/>
      <c r="E11" s="143"/>
      <c r="F11" s="119"/>
      <c r="G11" s="123"/>
      <c r="H11" s="123"/>
      <c r="I11" s="123"/>
      <c r="J11" s="123"/>
      <c r="K11" s="7"/>
      <c r="L11" s="7"/>
      <c r="M11">
        <v>5000</v>
      </c>
      <c r="N11">
        <v>4000</v>
      </c>
      <c r="P11" t="s">
        <v>30</v>
      </c>
      <c r="Q11">
        <v>5</v>
      </c>
    </row>
    <row r="12" spans="1:34" ht="15.75" x14ac:dyDescent="0.25">
      <c r="A12" s="137"/>
      <c r="B12" s="119"/>
      <c r="C12" s="130"/>
      <c r="D12" s="130"/>
      <c r="E12" s="143"/>
      <c r="F12" s="119"/>
      <c r="G12" s="123"/>
      <c r="H12" s="123"/>
      <c r="I12" s="123"/>
      <c r="J12" s="123"/>
      <c r="K12" s="4"/>
      <c r="L12" s="4"/>
      <c r="M12" s="119">
        <v>3000</v>
      </c>
      <c r="N12" s="119">
        <v>2000</v>
      </c>
      <c r="O12" s="119"/>
      <c r="P12" t="s">
        <v>23</v>
      </c>
      <c r="Q12">
        <v>6</v>
      </c>
    </row>
    <row r="13" spans="1:34" x14ac:dyDescent="0.25">
      <c r="A13" s="138"/>
      <c r="B13" s="119"/>
      <c r="C13" s="130"/>
      <c r="D13" s="130"/>
      <c r="E13" s="143"/>
      <c r="F13" s="119"/>
      <c r="G13" s="123"/>
      <c r="H13" s="123"/>
      <c r="I13" s="123"/>
      <c r="J13" s="123"/>
      <c r="K13" s="4"/>
      <c r="L13" s="4"/>
      <c r="M13" s="119">
        <v>2700</v>
      </c>
      <c r="N13" s="119">
        <v>5800</v>
      </c>
      <c r="O13" s="119"/>
      <c r="P13" t="s">
        <v>28</v>
      </c>
      <c r="Q13">
        <v>7</v>
      </c>
    </row>
    <row r="14" spans="1:34" ht="18.75" x14ac:dyDescent="0.3">
      <c r="A14" s="137"/>
      <c r="B14" s="119"/>
      <c r="C14" s="130"/>
      <c r="D14" s="130"/>
      <c r="E14" s="143"/>
      <c r="F14" s="119"/>
      <c r="G14" s="123"/>
      <c r="H14" s="123"/>
      <c r="I14" s="123"/>
      <c r="J14" s="123"/>
      <c r="K14" s="126"/>
      <c r="L14" s="126"/>
      <c r="M14" s="119">
        <v>7200</v>
      </c>
      <c r="N14" s="119">
        <v>3600</v>
      </c>
      <c r="O14" s="119"/>
      <c r="P14" t="s">
        <v>27</v>
      </c>
      <c r="Q14">
        <v>8</v>
      </c>
    </row>
    <row r="15" spans="1:34" x14ac:dyDescent="0.25">
      <c r="A15" s="138"/>
      <c r="B15" s="119"/>
      <c r="C15" s="130"/>
      <c r="D15" s="130"/>
      <c r="E15" s="143"/>
      <c r="F15" s="119"/>
      <c r="G15" s="123"/>
      <c r="H15" s="123"/>
      <c r="I15" s="123"/>
      <c r="J15" s="123"/>
      <c r="P15" t="s">
        <v>29</v>
      </c>
      <c r="Q15">
        <v>9</v>
      </c>
    </row>
    <row r="16" spans="1:34" ht="15.75" x14ac:dyDescent="0.25">
      <c r="A16" s="137"/>
      <c r="B16" s="119"/>
      <c r="C16" s="130"/>
      <c r="D16" s="130"/>
      <c r="E16" s="143"/>
      <c r="F16" s="119"/>
      <c r="G16" s="123"/>
      <c r="H16" s="123"/>
      <c r="I16" s="123"/>
      <c r="J16" s="123"/>
      <c r="U16" s="118"/>
      <c r="V16" s="119"/>
      <c r="W16" s="119"/>
      <c r="X16" s="119"/>
      <c r="Y16" s="119"/>
    </row>
    <row r="17" spans="1:25" x14ac:dyDescent="0.25">
      <c r="A17" s="138"/>
      <c r="B17" s="119"/>
      <c r="C17" s="130"/>
      <c r="D17" s="130"/>
      <c r="E17" s="143"/>
      <c r="F17" s="119"/>
      <c r="G17" s="123"/>
      <c r="H17" s="123"/>
      <c r="I17" s="123"/>
      <c r="J17" s="123"/>
      <c r="M17" s="156" t="s">
        <v>55</v>
      </c>
      <c r="N17" s="156"/>
      <c r="P17" s="157" t="s">
        <v>42</v>
      </c>
      <c r="Q17" s="157"/>
      <c r="R17" s="157"/>
      <c r="S17" s="157"/>
      <c r="X17" s="119"/>
      <c r="Y17" s="119"/>
    </row>
    <row r="18" spans="1:25" ht="15.75" x14ac:dyDescent="0.25">
      <c r="A18" s="137"/>
      <c r="B18" s="119"/>
      <c r="C18" s="130"/>
      <c r="D18" s="130"/>
      <c r="E18" s="143"/>
      <c r="F18" s="119"/>
      <c r="G18" s="123"/>
      <c r="H18" s="123"/>
      <c r="I18" s="123"/>
      <c r="J18" s="123"/>
      <c r="L18" s="118"/>
      <c r="M18" s="9" t="s">
        <v>37</v>
      </c>
      <c r="N18" s="9" t="s">
        <v>38</v>
      </c>
      <c r="P18" s="9" t="s">
        <v>23</v>
      </c>
      <c r="Q18" s="9" t="s">
        <v>28</v>
      </c>
      <c r="R18" s="9" t="s">
        <v>27</v>
      </c>
      <c r="S18" s="9" t="s">
        <v>29</v>
      </c>
      <c r="T18" s="9"/>
      <c r="X18" s="119"/>
      <c r="Y18" s="119"/>
    </row>
    <row r="19" spans="1:25" x14ac:dyDescent="0.25">
      <c r="A19" s="138"/>
      <c r="B19" s="119"/>
      <c r="C19" s="130"/>
      <c r="D19" s="130"/>
      <c r="E19" s="143"/>
      <c r="F19" s="119"/>
      <c r="G19" s="123"/>
      <c r="H19" s="123"/>
      <c r="I19" s="123"/>
      <c r="J19" s="123"/>
      <c r="L19" s="119"/>
      <c r="M19" s="142">
        <f ca="1">M11+NORMINV(RAND(),0,1000)</f>
        <v>2812.9754628580108</v>
      </c>
      <c r="N19" s="142">
        <f ca="1">N11+NORMINV(RAND(),0,1000)</f>
        <v>4985.5554970584071</v>
      </c>
      <c r="P19" s="125">
        <f ca="1">MIN(($R$27*(-LN(1-RAND()))^(1/$Q$27)),1)</f>
        <v>0.42256554594168017</v>
      </c>
      <c r="Q19" s="125">
        <f ca="1">MIN(($R$26*(-LN(1-RAND()))^(1/$Q$26)),1)</f>
        <v>0.3624838131672255</v>
      </c>
      <c r="R19" s="125">
        <f ca="1">NORMINV(RAND(),0.45,0.45*0.06)</f>
        <v>0.44945292520231517</v>
      </c>
      <c r="S19" s="125">
        <f ca="1">MIN(NORMINV(RAND(),0.9,0.9*0.06),1)</f>
        <v>0.88131452499702867</v>
      </c>
      <c r="X19" s="125"/>
      <c r="Y19" s="125"/>
    </row>
    <row r="20" spans="1:25" ht="15.75" x14ac:dyDescent="0.25">
      <c r="A20" s="137"/>
      <c r="B20" s="119"/>
      <c r="C20" s="130"/>
      <c r="D20" s="130"/>
      <c r="E20" s="143"/>
      <c r="F20" s="119"/>
      <c r="G20" s="123"/>
      <c r="H20" s="123"/>
      <c r="I20" s="123"/>
      <c r="J20" s="123"/>
      <c r="L20" s="119"/>
      <c r="M20" s="142">
        <f t="shared" ref="M20:N20" ca="1" si="0">M12+NORMINV(RAND(),0,1000)</f>
        <v>935.36903494082117</v>
      </c>
      <c r="N20" s="142">
        <f t="shared" ca="1" si="0"/>
        <v>1902.2660696046555</v>
      </c>
      <c r="P20" s="125">
        <f ca="1">MIN(($R$27*(-LN(1-RAND()))^(1/$Q$27)),1)</f>
        <v>0.23597138460202438</v>
      </c>
      <c r="Q20" s="125">
        <f ca="1">MIN(($R$26*(-LN(1-RAND()))^(1/$Q$26)),1)</f>
        <v>0.44145418508224404</v>
      </c>
      <c r="R20" s="125">
        <f ca="1">MIN(NORMINV(RAND(),0.95,0.95*0.06),1)</f>
        <v>0.97053033516360254</v>
      </c>
      <c r="S20" s="125">
        <f t="shared" ref="S20:S22" ca="1" si="1">MIN(NORMINV(RAND(),0.9,0.9*0.06),1)</f>
        <v>0.88800390173370314</v>
      </c>
    </row>
    <row r="21" spans="1:25" x14ac:dyDescent="0.25">
      <c r="A21" s="138"/>
      <c r="B21" s="119"/>
      <c r="C21" s="130"/>
      <c r="D21" s="130"/>
      <c r="E21" s="143"/>
      <c r="F21" s="119"/>
      <c r="G21" s="123"/>
      <c r="H21" s="123"/>
      <c r="I21" s="123"/>
      <c r="J21" s="123"/>
      <c r="L21" s="119"/>
      <c r="M21" s="142">
        <f t="shared" ref="M21:N21" ca="1" si="2">M13+NORMINV(RAND(),0,1000)</f>
        <v>4106.8482940510266</v>
      </c>
      <c r="N21" s="142">
        <f t="shared" ca="1" si="2"/>
        <v>3992.0742100156758</v>
      </c>
      <c r="P21" s="125">
        <f ca="1">MIN(($R$27*(-LN(1-RAND()))^(1/$Q$27)),1)</f>
        <v>0.39234258144147194</v>
      </c>
      <c r="Q21" s="125">
        <f ca="1">MIN(($R$26*(-LN(1-RAND()))^(1/$Q$26)),1)</f>
        <v>4.8922618119987195E-2</v>
      </c>
      <c r="R21" s="125">
        <f ca="1">NORMINV(RAND(),0.75,0.75*0.06)</f>
        <v>0.78146844513095359</v>
      </c>
      <c r="S21" s="125">
        <f t="shared" ca="1" si="1"/>
        <v>0.90335822533634336</v>
      </c>
    </row>
    <row r="22" spans="1:25" ht="15.75" x14ac:dyDescent="0.25">
      <c r="A22" s="137"/>
      <c r="B22" s="119"/>
      <c r="C22" s="130"/>
      <c r="D22" s="130"/>
      <c r="E22" s="143"/>
      <c r="F22" s="119"/>
      <c r="G22" s="123"/>
      <c r="H22" s="123"/>
      <c r="I22" s="123"/>
      <c r="J22" s="123"/>
      <c r="L22" s="119"/>
      <c r="M22" s="142">
        <f t="shared" ref="M22:N22" ca="1" si="3">M14+NORMINV(RAND(),0,1000)</f>
        <v>7532.4789790918103</v>
      </c>
      <c r="N22" s="142">
        <f t="shared" ca="1" si="3"/>
        <v>2527.9903708561669</v>
      </c>
      <c r="P22" s="125">
        <f ca="1">MIN(($R$27*(-LN(1-RAND()))^(1/$Q$27)),1)</f>
        <v>1</v>
      </c>
      <c r="Q22" s="125">
        <f ca="1">MIN(($R$26*(-LN(1-RAND()))^(1/$Q$26)),1)</f>
        <v>0.43221882220501295</v>
      </c>
      <c r="R22" s="125">
        <f ca="1">NORMINV(RAND(),0.25,0.25*0.06)</f>
        <v>0.22526564191341844</v>
      </c>
      <c r="S22" s="125">
        <f t="shared" ca="1" si="1"/>
        <v>0.96375551299906181</v>
      </c>
      <c r="X22" s="125"/>
      <c r="Y22" s="125"/>
    </row>
    <row r="23" spans="1:25" x14ac:dyDescent="0.25">
      <c r="A23" s="138"/>
      <c r="B23" s="119"/>
      <c r="C23" s="130"/>
      <c r="D23" s="130"/>
      <c r="E23" s="143"/>
      <c r="F23" s="119"/>
      <c r="G23" s="123"/>
      <c r="H23" s="123"/>
      <c r="I23" s="123"/>
      <c r="J23" s="123"/>
      <c r="L23" s="125"/>
    </row>
    <row r="24" spans="1:25" ht="15.75" x14ac:dyDescent="0.25">
      <c r="A24" s="137"/>
      <c r="B24" s="119"/>
      <c r="C24" s="130"/>
      <c r="D24" s="130"/>
      <c r="E24" s="143"/>
      <c r="F24" s="119"/>
      <c r="G24" s="123"/>
      <c r="H24" s="123"/>
      <c r="I24" s="123"/>
      <c r="J24" s="123"/>
      <c r="M24" s="142"/>
      <c r="N24" s="142"/>
      <c r="P24" s="156" t="s">
        <v>45</v>
      </c>
      <c r="Q24" s="156"/>
      <c r="R24" s="156"/>
      <c r="U24" s="9"/>
      <c r="X24" s="124"/>
      <c r="Y24" s="124"/>
    </row>
    <row r="25" spans="1:25" x14ac:dyDescent="0.25">
      <c r="A25" s="138"/>
      <c r="B25" s="119"/>
      <c r="C25" s="130"/>
      <c r="D25" s="130"/>
      <c r="E25" s="143"/>
      <c r="F25" s="119"/>
      <c r="G25" s="123"/>
      <c r="H25" s="123"/>
      <c r="I25" s="123"/>
      <c r="J25" s="123"/>
      <c r="N25" s="142"/>
      <c r="Q25" s="9" t="s">
        <v>39</v>
      </c>
      <c r="R25" s="9" t="s">
        <v>40</v>
      </c>
      <c r="U25" s="9"/>
      <c r="Y25" s="124"/>
    </row>
    <row r="26" spans="1:25" ht="15.75" x14ac:dyDescent="0.25">
      <c r="A26" s="137"/>
      <c r="B26" s="119"/>
      <c r="C26" s="130"/>
      <c r="D26" s="130"/>
      <c r="E26" s="143"/>
      <c r="F26" s="119"/>
      <c r="G26" s="123"/>
      <c r="H26" s="123"/>
      <c r="I26" s="123"/>
      <c r="J26" s="123"/>
      <c r="N26" s="142"/>
      <c r="P26" t="s">
        <v>44</v>
      </c>
      <c r="Q26">
        <v>1.8</v>
      </c>
      <c r="R26">
        <v>0.3</v>
      </c>
    </row>
    <row r="27" spans="1:25" x14ac:dyDescent="0.25">
      <c r="A27" s="138"/>
      <c r="B27" s="119"/>
      <c r="C27" s="130"/>
      <c r="D27" s="130"/>
      <c r="E27" s="143"/>
      <c r="F27" s="119"/>
      <c r="G27" s="123"/>
      <c r="H27" s="123"/>
      <c r="I27" s="123"/>
      <c r="J27" s="123"/>
      <c r="N27" s="142"/>
      <c r="P27" t="s">
        <v>43</v>
      </c>
      <c r="Q27">
        <v>1.8</v>
      </c>
      <c r="R27">
        <v>0.7</v>
      </c>
    </row>
    <row r="28" spans="1:25" ht="15.75" x14ac:dyDescent="0.25">
      <c r="A28" s="137"/>
      <c r="B28" s="119"/>
      <c r="C28" s="130"/>
      <c r="D28" s="130"/>
      <c r="E28" s="143"/>
      <c r="F28" s="119"/>
      <c r="G28" s="123"/>
      <c r="H28" s="123"/>
      <c r="I28" s="123"/>
      <c r="J28" s="123"/>
      <c r="P28" s="124"/>
    </row>
    <row r="29" spans="1:25" x14ac:dyDescent="0.25">
      <c r="A29" s="138"/>
      <c r="B29" s="119"/>
      <c r="C29" s="130"/>
      <c r="D29" s="130"/>
      <c r="E29" s="143"/>
      <c r="F29" s="119"/>
      <c r="G29" s="123"/>
      <c r="H29" s="123"/>
      <c r="I29" s="123"/>
      <c r="J29" s="123"/>
      <c r="P29" s="124"/>
      <c r="Q29" s="124"/>
      <c r="R29" s="125"/>
    </row>
    <row r="30" spans="1:25" ht="15.75" x14ac:dyDescent="0.25">
      <c r="A30" s="137"/>
      <c r="B30" s="119"/>
      <c r="C30" s="130"/>
      <c r="D30" s="130"/>
      <c r="E30" s="143"/>
      <c r="F30" s="119"/>
      <c r="G30" s="123"/>
      <c r="H30" s="123"/>
      <c r="I30" s="123"/>
      <c r="J30" s="123"/>
      <c r="P30" s="141"/>
      <c r="Q30" s="141"/>
      <c r="R30" s="141"/>
      <c r="S30" s="1"/>
      <c r="T30" s="1"/>
      <c r="U30" s="141"/>
      <c r="V30" s="141"/>
      <c r="W30" s="141"/>
    </row>
    <row r="31" spans="1:25" x14ac:dyDescent="0.25">
      <c r="A31" s="138"/>
      <c r="B31" s="119"/>
      <c r="C31" s="130"/>
      <c r="D31" s="130"/>
      <c r="E31" s="143"/>
      <c r="F31" s="119"/>
      <c r="G31" s="123"/>
      <c r="H31" s="123"/>
      <c r="I31" s="123"/>
      <c r="J31" s="123"/>
    </row>
    <row r="32" spans="1:25" ht="15.75" x14ac:dyDescent="0.25">
      <c r="A32" s="137"/>
      <c r="B32" s="119"/>
      <c r="C32" s="130"/>
      <c r="D32" s="130"/>
      <c r="E32" s="143"/>
      <c r="F32" s="119"/>
      <c r="G32" s="123"/>
      <c r="H32" s="123"/>
      <c r="I32" s="123"/>
      <c r="J32" s="123"/>
    </row>
    <row r="33" spans="1:11" x14ac:dyDescent="0.25">
      <c r="A33" s="138"/>
      <c r="B33" s="119"/>
      <c r="C33" s="130"/>
      <c r="D33" s="130"/>
      <c r="E33" s="143"/>
      <c r="F33" s="119"/>
      <c r="G33" s="123"/>
      <c r="H33" s="123"/>
      <c r="I33" s="123"/>
      <c r="J33" s="123"/>
      <c r="K33" s="124"/>
    </row>
    <row r="34" spans="1:11" ht="15.75" x14ac:dyDescent="0.25">
      <c r="A34" s="137"/>
      <c r="B34" s="119"/>
      <c r="C34" s="130"/>
      <c r="D34" s="130"/>
      <c r="E34" s="143"/>
      <c r="F34" s="119"/>
      <c r="G34" s="123"/>
      <c r="H34" s="123"/>
      <c r="I34" s="123"/>
      <c r="J34" s="123"/>
      <c r="K34" s="124"/>
    </row>
    <row r="35" spans="1:11" x14ac:dyDescent="0.25">
      <c r="A35" s="138"/>
      <c r="B35" s="119"/>
      <c r="C35" s="130"/>
      <c r="D35" s="130"/>
      <c r="E35" s="143"/>
      <c r="F35" s="119"/>
      <c r="G35" s="123"/>
      <c r="H35" s="123"/>
      <c r="I35" s="123"/>
      <c r="J35" s="123"/>
      <c r="K35" s="124"/>
    </row>
    <row r="36" spans="1:11" x14ac:dyDescent="0.25">
      <c r="G36" s="124"/>
      <c r="H36" s="124"/>
      <c r="I36" s="124"/>
      <c r="J36" s="124"/>
      <c r="K36" s="124"/>
    </row>
  </sheetData>
  <mergeCells count="5">
    <mergeCell ref="P24:R24"/>
    <mergeCell ref="P6:Q6"/>
    <mergeCell ref="P17:S17"/>
    <mergeCell ref="M9:N9"/>
    <mergeCell ref="M17:N17"/>
  </mergeCells>
  <pageMargins left="0.7" right="0.7" top="0.75" bottom="0.75" header="0.3" footer="0.3"/>
  <pageSetup orientation="portrait" r:id="rId1"/>
  <headerFooter>
    <oddFooter>&amp;L_x000D_&amp;1#&amp;"Aptos"&amp;10&amp;K000000  PGE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C613-B277-4520-9B48-28826FA3D1A4}">
  <dimension ref="A2:AB70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RowHeight="15" x14ac:dyDescent="0.25"/>
  <cols>
    <col min="1" max="1" width="36.7109375" customWidth="1"/>
    <col min="2" max="2" width="10.140625" customWidth="1"/>
    <col min="3" max="3" width="9.140625" style="5" bestFit="1" customWidth="1"/>
    <col min="4" max="4" width="11.7109375" bestFit="1" customWidth="1"/>
    <col min="5" max="5" width="19.42578125" bestFit="1" customWidth="1"/>
    <col min="6" max="6" width="17.5703125" customWidth="1"/>
    <col min="7" max="7" width="18.42578125" customWidth="1"/>
    <col min="8" max="8" width="14.140625" customWidth="1"/>
    <col min="9" max="9" width="17.140625" customWidth="1"/>
    <col min="10" max="10" width="14.140625" customWidth="1"/>
    <col min="11" max="11" width="17.85546875" customWidth="1"/>
    <col min="12" max="12" width="14.140625" customWidth="1"/>
    <col min="13" max="13" width="15.42578125" customWidth="1"/>
    <col min="14" max="16" width="14.140625" customWidth="1"/>
  </cols>
  <sheetData>
    <row r="2" spans="1:17" x14ac:dyDescent="0.25">
      <c r="G2" s="158" t="s">
        <v>6</v>
      </c>
      <c r="H2" s="158"/>
      <c r="I2" s="158" t="s">
        <v>7</v>
      </c>
      <c r="J2" s="158"/>
      <c r="K2" s="158" t="s">
        <v>8</v>
      </c>
      <c r="L2" s="158"/>
      <c r="M2" s="158" t="s">
        <v>9</v>
      </c>
      <c r="N2" s="158"/>
    </row>
    <row r="3" spans="1:17" s="1" customFormat="1" ht="38.25" customHeight="1" x14ac:dyDescent="0.25">
      <c r="A3" s="56" t="s">
        <v>11</v>
      </c>
      <c r="B3" s="56" t="s">
        <v>12</v>
      </c>
      <c r="C3" s="37" t="s">
        <v>22</v>
      </c>
      <c r="D3" s="37" t="s">
        <v>0</v>
      </c>
      <c r="E3" s="37" t="s">
        <v>10</v>
      </c>
      <c r="F3" s="56" t="s">
        <v>33</v>
      </c>
      <c r="G3" s="56" t="s">
        <v>34</v>
      </c>
      <c r="H3" s="56" t="s">
        <v>35</v>
      </c>
      <c r="I3" s="56" t="s">
        <v>34</v>
      </c>
      <c r="J3" s="56" t="s">
        <v>35</v>
      </c>
      <c r="K3" s="56" t="s">
        <v>34</v>
      </c>
      <c r="L3" s="56" t="s">
        <v>35</v>
      </c>
      <c r="M3" s="56" t="s">
        <v>34</v>
      </c>
      <c r="N3" s="56" t="s">
        <v>35</v>
      </c>
      <c r="O3" s="56"/>
      <c r="P3" s="56" t="s">
        <v>36</v>
      </c>
      <c r="Q3" s="127">
        <v>1</v>
      </c>
    </row>
    <row r="4" spans="1:17" x14ac:dyDescent="0.25">
      <c r="A4" s="147" t="s">
        <v>13</v>
      </c>
      <c r="B4" s="10">
        <v>1</v>
      </c>
      <c r="C4" s="39">
        <v>11</v>
      </c>
      <c r="D4" s="39" t="s">
        <v>20</v>
      </c>
      <c r="E4" s="39" t="str">
        <f>Portfolios!E2</f>
        <v>Offshore Wind</v>
      </c>
      <c r="F4" s="39">
        <f>Portfolios!F2</f>
        <v>250</v>
      </c>
      <c r="H4" s="122"/>
      <c r="J4" s="122"/>
      <c r="L4" s="122"/>
      <c r="N4" s="122"/>
      <c r="Q4" s="119"/>
    </row>
    <row r="5" spans="1:17" x14ac:dyDescent="0.25">
      <c r="A5" s="148"/>
      <c r="B5" s="10">
        <v>1</v>
      </c>
      <c r="C5" s="39">
        <v>12</v>
      </c>
      <c r="D5" s="39" t="s">
        <v>20</v>
      </c>
      <c r="E5" s="39" t="str">
        <f>Portfolios!E3</f>
        <v>Offshore Wind</v>
      </c>
      <c r="F5" s="39">
        <f>Portfolios!F3</f>
        <v>250</v>
      </c>
      <c r="H5" s="122"/>
      <c r="J5" s="122"/>
      <c r="L5" s="122"/>
      <c r="N5" s="122"/>
      <c r="Q5" s="119"/>
    </row>
    <row r="6" spans="1:17" x14ac:dyDescent="0.25">
      <c r="A6" s="148"/>
      <c r="B6" s="10">
        <v>1</v>
      </c>
      <c r="C6" s="39">
        <v>13</v>
      </c>
      <c r="D6" s="39" t="s">
        <v>20</v>
      </c>
      <c r="E6" s="39" t="str">
        <f>Portfolios!E4</f>
        <v>Geothermal</v>
      </c>
      <c r="F6" s="39">
        <f>Portfolios!F4</f>
        <v>600</v>
      </c>
      <c r="H6" s="122"/>
      <c r="J6" s="122"/>
      <c r="L6" s="122"/>
      <c r="N6" s="122"/>
      <c r="Q6" s="119"/>
    </row>
    <row r="7" spans="1:17" x14ac:dyDescent="0.25">
      <c r="A7" s="148"/>
      <c r="B7" s="10">
        <v>1</v>
      </c>
      <c r="C7" s="39">
        <v>14</v>
      </c>
      <c r="D7" s="39" t="s">
        <v>20</v>
      </c>
      <c r="E7" s="39" t="str">
        <f>Portfolios!E5</f>
        <v>Geothermal</v>
      </c>
      <c r="F7" s="39">
        <f>Portfolios!F5</f>
        <v>600</v>
      </c>
      <c r="H7" s="122"/>
      <c r="J7" s="122"/>
      <c r="L7" s="122"/>
      <c r="N7" s="122"/>
      <c r="Q7" s="119"/>
    </row>
    <row r="8" spans="1:17" x14ac:dyDescent="0.25">
      <c r="A8" s="148"/>
      <c r="B8" s="12">
        <v>1</v>
      </c>
      <c r="C8" s="40">
        <v>15</v>
      </c>
      <c r="D8" s="40" t="s">
        <v>20</v>
      </c>
      <c r="E8" s="40" t="str">
        <f>Portfolios!E6</f>
        <v>Geothermal</v>
      </c>
      <c r="F8" s="40">
        <f>Portfolios!F6</f>
        <v>475</v>
      </c>
      <c r="H8" s="122"/>
      <c r="J8" s="122"/>
      <c r="L8" s="122"/>
      <c r="N8" s="122"/>
      <c r="Q8" s="119"/>
    </row>
    <row r="9" spans="1:17" x14ac:dyDescent="0.25">
      <c r="A9" s="149" t="s">
        <v>14</v>
      </c>
      <c r="B9" s="61">
        <v>2</v>
      </c>
      <c r="C9" s="62">
        <v>21</v>
      </c>
      <c r="D9" s="62" t="s">
        <v>20</v>
      </c>
      <c r="E9" s="62" t="str">
        <f>Portfolios!E7</f>
        <v>Hydro</v>
      </c>
      <c r="F9" s="62">
        <f>Portfolios!F7</f>
        <v>145</v>
      </c>
      <c r="H9" s="122"/>
      <c r="J9" s="122"/>
      <c r="L9" s="122"/>
      <c r="N9" s="122"/>
      <c r="Q9" s="119"/>
    </row>
    <row r="10" spans="1:17" x14ac:dyDescent="0.25">
      <c r="A10" s="149"/>
      <c r="B10" s="14">
        <v>2</v>
      </c>
      <c r="C10" s="41">
        <v>22</v>
      </c>
      <c r="D10" s="41" t="s">
        <v>20</v>
      </c>
      <c r="E10" s="41" t="str">
        <f>Portfolios!E8</f>
        <v>Hydro</v>
      </c>
      <c r="F10" s="41">
        <f>Portfolios!F8</f>
        <v>145</v>
      </c>
      <c r="H10" s="122"/>
      <c r="J10" s="122"/>
      <c r="L10" s="122"/>
      <c r="N10" s="122"/>
      <c r="Q10" s="119"/>
    </row>
    <row r="11" spans="1:17" x14ac:dyDescent="0.25">
      <c r="A11" s="149"/>
      <c r="B11" s="14">
        <v>2</v>
      </c>
      <c r="C11" s="41">
        <v>23</v>
      </c>
      <c r="D11" s="41" t="s">
        <v>20</v>
      </c>
      <c r="E11" s="41" t="str">
        <f>Portfolios!E9</f>
        <v>Natural Gas</v>
      </c>
      <c r="F11" s="41">
        <f>Portfolios!F9</f>
        <v>750</v>
      </c>
      <c r="H11" s="122"/>
      <c r="J11" s="122"/>
      <c r="L11" s="122"/>
      <c r="N11" s="122"/>
      <c r="Q11" s="119"/>
    </row>
    <row r="12" spans="1:17" x14ac:dyDescent="0.25">
      <c r="A12" s="149"/>
      <c r="B12" s="14">
        <v>2</v>
      </c>
      <c r="C12" s="41">
        <v>24</v>
      </c>
      <c r="D12" s="41" t="s">
        <v>20</v>
      </c>
      <c r="E12" s="41" t="str">
        <f>Portfolios!E10</f>
        <v>Natural Gas</v>
      </c>
      <c r="F12" s="41">
        <f>Portfolios!F10</f>
        <v>720</v>
      </c>
      <c r="H12" s="122"/>
      <c r="J12" s="122"/>
      <c r="L12" s="122"/>
      <c r="N12" s="122"/>
      <c r="Q12" s="119"/>
    </row>
    <row r="13" spans="1:17" x14ac:dyDescent="0.25">
      <c r="A13" s="149"/>
      <c r="B13" s="14">
        <v>2</v>
      </c>
      <c r="C13" s="41">
        <v>25</v>
      </c>
      <c r="D13" s="41" t="s">
        <v>20</v>
      </c>
      <c r="E13" s="41" t="str">
        <f>Portfolios!E11</f>
        <v>Natural Gas</v>
      </c>
      <c r="F13" s="41">
        <f>Portfolios!F11</f>
        <v>650</v>
      </c>
      <c r="H13" s="122"/>
      <c r="J13" s="122"/>
      <c r="L13" s="122"/>
      <c r="N13" s="122"/>
      <c r="Q13" s="119"/>
    </row>
    <row r="14" spans="1:17" x14ac:dyDescent="0.25">
      <c r="A14" s="149"/>
      <c r="B14" s="14">
        <v>2</v>
      </c>
      <c r="C14" s="41">
        <v>26</v>
      </c>
      <c r="D14" s="41" t="s">
        <v>20</v>
      </c>
      <c r="E14" s="41" t="str">
        <f>Portfolios!E12</f>
        <v>Natural Gas</v>
      </c>
      <c r="F14" s="41">
        <f>Portfolios!F12</f>
        <v>600</v>
      </c>
      <c r="H14" s="122"/>
      <c r="J14" s="122"/>
      <c r="L14" s="122"/>
      <c r="N14" s="122"/>
      <c r="Q14" s="119"/>
    </row>
    <row r="15" spans="1:17" x14ac:dyDescent="0.25">
      <c r="A15" s="149"/>
      <c r="B15" s="16">
        <v>2</v>
      </c>
      <c r="C15" s="42">
        <v>27</v>
      </c>
      <c r="D15" s="42" t="s">
        <v>20</v>
      </c>
      <c r="E15" s="42" t="str">
        <f>Portfolios!E13</f>
        <v>Solar</v>
      </c>
      <c r="F15" s="42">
        <f>Portfolios!F13</f>
        <v>540</v>
      </c>
      <c r="H15" s="122"/>
      <c r="J15" s="122"/>
      <c r="L15" s="122"/>
      <c r="N15" s="122"/>
      <c r="Q15" s="119"/>
    </row>
    <row r="16" spans="1:17" x14ac:dyDescent="0.25">
      <c r="A16" s="150" t="s">
        <v>15</v>
      </c>
      <c r="B16" s="18">
        <v>3</v>
      </c>
      <c r="C16" s="43">
        <v>31</v>
      </c>
      <c r="D16" s="43" t="s">
        <v>20</v>
      </c>
      <c r="E16" s="43" t="str">
        <f>Portfolios!E14</f>
        <v>Natural Gas</v>
      </c>
      <c r="F16" s="43">
        <f>Portfolios!F14</f>
        <v>400</v>
      </c>
      <c r="H16" s="122"/>
      <c r="J16" s="122"/>
      <c r="L16" s="122"/>
      <c r="N16" s="122"/>
      <c r="Q16" s="119"/>
    </row>
    <row r="17" spans="1:17" x14ac:dyDescent="0.25">
      <c r="A17" s="150"/>
      <c r="B17" s="18">
        <v>3</v>
      </c>
      <c r="C17" s="44">
        <v>32</v>
      </c>
      <c r="D17" s="44" t="s">
        <v>20</v>
      </c>
      <c r="E17" s="44" t="str">
        <f>Portfolios!E15</f>
        <v>Solar</v>
      </c>
      <c r="F17" s="44">
        <f>Portfolios!F15</f>
        <v>600</v>
      </c>
      <c r="H17" s="122"/>
      <c r="J17" s="122"/>
      <c r="L17" s="122"/>
      <c r="N17" s="122"/>
      <c r="Q17" s="119"/>
    </row>
    <row r="18" spans="1:17" x14ac:dyDescent="0.25">
      <c r="A18" s="150"/>
      <c r="B18" s="18">
        <v>3</v>
      </c>
      <c r="C18" s="44">
        <v>33</v>
      </c>
      <c r="D18" s="44" t="s">
        <v>20</v>
      </c>
      <c r="E18" s="44" t="str">
        <f>Portfolios!E16</f>
        <v>Solar</v>
      </c>
      <c r="F18" s="44">
        <f>Portfolios!F16</f>
        <v>600</v>
      </c>
      <c r="H18" s="122"/>
      <c r="J18" s="122"/>
      <c r="L18" s="122"/>
      <c r="N18" s="122"/>
      <c r="Q18" s="119"/>
    </row>
    <row r="19" spans="1:17" x14ac:dyDescent="0.25">
      <c r="A19" s="150"/>
      <c r="B19" s="18">
        <v>3</v>
      </c>
      <c r="C19" s="44">
        <v>34</v>
      </c>
      <c r="D19" s="44" t="s">
        <v>20</v>
      </c>
      <c r="E19" s="44" t="str">
        <f>Portfolios!E17</f>
        <v>Solar</v>
      </c>
      <c r="F19" s="44">
        <f>Portfolios!F17</f>
        <v>475</v>
      </c>
      <c r="H19" s="122"/>
      <c r="J19" s="122"/>
      <c r="L19" s="122"/>
      <c r="N19" s="122"/>
      <c r="Q19" s="119"/>
    </row>
    <row r="20" spans="1:17" x14ac:dyDescent="0.25">
      <c r="A20" s="150"/>
      <c r="B20" s="18">
        <v>3</v>
      </c>
      <c r="C20" s="44">
        <v>35</v>
      </c>
      <c r="D20" s="44" t="s">
        <v>20</v>
      </c>
      <c r="E20" s="44" t="str">
        <f>Portfolios!E18</f>
        <v>Solar</v>
      </c>
      <c r="F20" s="44">
        <f>Portfolios!F18</f>
        <v>350</v>
      </c>
      <c r="H20" s="122"/>
      <c r="J20" s="122"/>
      <c r="L20" s="122"/>
      <c r="N20" s="122"/>
      <c r="Q20" s="119"/>
    </row>
    <row r="21" spans="1:17" x14ac:dyDescent="0.25">
      <c r="A21" s="150"/>
      <c r="B21" s="18">
        <v>3</v>
      </c>
      <c r="C21" s="44">
        <v>36</v>
      </c>
      <c r="D21" s="44" t="s">
        <v>20</v>
      </c>
      <c r="E21" s="44" t="str">
        <f>Portfolios!E19</f>
        <v>Onshore Wind</v>
      </c>
      <c r="F21" s="44">
        <f>Portfolios!F19</f>
        <v>375</v>
      </c>
      <c r="H21" s="122"/>
      <c r="J21" s="122"/>
      <c r="L21" s="122"/>
      <c r="N21" s="122"/>
      <c r="Q21" s="119"/>
    </row>
    <row r="22" spans="1:17" x14ac:dyDescent="0.25">
      <c r="A22" s="150"/>
      <c r="B22" s="18">
        <v>3</v>
      </c>
      <c r="C22" s="44">
        <v>37</v>
      </c>
      <c r="D22" s="44" t="s">
        <v>20</v>
      </c>
      <c r="E22" s="44" t="str">
        <f>Portfolios!E20</f>
        <v>Onshore Wind</v>
      </c>
      <c r="F22" s="44">
        <f>Portfolios!F20</f>
        <v>375</v>
      </c>
      <c r="H22" s="122"/>
      <c r="J22" s="122"/>
      <c r="L22" s="122"/>
      <c r="N22" s="122"/>
      <c r="Q22" s="119"/>
    </row>
    <row r="23" spans="1:17" x14ac:dyDescent="0.25">
      <c r="A23" s="150"/>
      <c r="B23" s="20">
        <v>3</v>
      </c>
      <c r="C23" s="45">
        <v>38</v>
      </c>
      <c r="D23" s="45" t="s">
        <v>20</v>
      </c>
      <c r="E23" s="45" t="str">
        <f>Portfolios!E21</f>
        <v>Onshore Wind</v>
      </c>
      <c r="F23" s="45">
        <f>Portfolios!F21</f>
        <v>375</v>
      </c>
      <c r="H23" s="122"/>
      <c r="J23" s="122"/>
      <c r="L23" s="122"/>
      <c r="N23" s="122"/>
      <c r="Q23" s="119"/>
    </row>
    <row r="24" spans="1:17" x14ac:dyDescent="0.25">
      <c r="A24" s="151" t="s">
        <v>16</v>
      </c>
      <c r="B24" s="22">
        <v>4</v>
      </c>
      <c r="C24" s="46">
        <v>41</v>
      </c>
      <c r="D24" s="46" t="s">
        <v>20</v>
      </c>
      <c r="E24" s="46" t="str">
        <f>Portfolios!E22</f>
        <v>Offshore Wind</v>
      </c>
      <c r="F24" s="46">
        <f>Portfolios!F22</f>
        <v>820</v>
      </c>
      <c r="H24" s="122"/>
      <c r="J24" s="122"/>
      <c r="L24" s="122"/>
      <c r="N24" s="122"/>
      <c r="Q24" s="119"/>
    </row>
    <row r="25" spans="1:17" x14ac:dyDescent="0.25">
      <c r="A25" s="151"/>
      <c r="B25" s="22">
        <v>4</v>
      </c>
      <c r="C25" s="47">
        <v>42</v>
      </c>
      <c r="D25" s="47" t="s">
        <v>20</v>
      </c>
      <c r="E25" s="47" t="str">
        <f>Portfolios!E23</f>
        <v>Offshore Wind</v>
      </c>
      <c r="F25" s="47">
        <f>Portfolios!F23</f>
        <v>780</v>
      </c>
      <c r="H25" s="122"/>
      <c r="J25" s="122"/>
      <c r="L25" s="122"/>
      <c r="N25" s="122"/>
      <c r="Q25" s="119"/>
    </row>
    <row r="26" spans="1:17" x14ac:dyDescent="0.25">
      <c r="A26" s="151"/>
      <c r="B26" s="22">
        <v>4</v>
      </c>
      <c r="C26" s="47">
        <v>43</v>
      </c>
      <c r="D26" s="47" t="s">
        <v>20</v>
      </c>
      <c r="E26" s="47" t="str">
        <f>Portfolios!E24</f>
        <v>Offshore Wind</v>
      </c>
      <c r="F26" s="47">
        <f>Portfolios!F24</f>
        <v>700</v>
      </c>
      <c r="H26" s="122"/>
      <c r="J26" s="122"/>
      <c r="L26" s="122"/>
      <c r="N26" s="122"/>
      <c r="Q26" s="119"/>
    </row>
    <row r="27" spans="1:17" x14ac:dyDescent="0.25">
      <c r="A27" s="151"/>
      <c r="B27" s="22">
        <v>4</v>
      </c>
      <c r="C27" s="47">
        <v>44</v>
      </c>
      <c r="D27" s="47" t="s">
        <v>20</v>
      </c>
      <c r="E27" s="47" t="str">
        <f>Portfolios!E25</f>
        <v>Wave</v>
      </c>
      <c r="F27" s="47">
        <f>Portfolios!F25</f>
        <v>425</v>
      </c>
      <c r="H27" s="122"/>
      <c r="J27" s="122"/>
      <c r="L27" s="122"/>
      <c r="N27" s="122"/>
      <c r="Q27" s="119"/>
    </row>
    <row r="28" spans="1:17" x14ac:dyDescent="0.25">
      <c r="A28" s="151"/>
      <c r="B28" s="22">
        <v>4</v>
      </c>
      <c r="C28" s="47">
        <v>45</v>
      </c>
      <c r="D28" s="47" t="s">
        <v>20</v>
      </c>
      <c r="E28" s="47" t="str">
        <f>Portfolios!E26</f>
        <v>Wave</v>
      </c>
      <c r="F28" s="47">
        <f>Portfolios!F26</f>
        <v>425</v>
      </c>
      <c r="H28" s="122"/>
      <c r="J28" s="122"/>
      <c r="L28" s="122"/>
      <c r="N28" s="122"/>
      <c r="Q28" s="119"/>
    </row>
    <row r="29" spans="1:17" x14ac:dyDescent="0.25">
      <c r="A29" s="151"/>
      <c r="B29" s="22">
        <v>4</v>
      </c>
      <c r="C29" s="47">
        <v>46</v>
      </c>
      <c r="D29" s="47" t="s">
        <v>20</v>
      </c>
      <c r="E29" s="47" t="str">
        <f>Portfolios!E27</f>
        <v>Natural Gas</v>
      </c>
      <c r="F29" s="47">
        <f>Portfolios!F27</f>
        <v>225</v>
      </c>
      <c r="H29" s="122"/>
      <c r="J29" s="122"/>
      <c r="L29" s="122"/>
      <c r="N29" s="122"/>
      <c r="Q29" s="119"/>
    </row>
    <row r="30" spans="1:17" x14ac:dyDescent="0.25">
      <c r="A30" s="151"/>
      <c r="B30" s="24">
        <v>4</v>
      </c>
      <c r="C30" s="48">
        <v>47</v>
      </c>
      <c r="D30" s="48" t="s">
        <v>20</v>
      </c>
      <c r="E30" s="48" t="str">
        <f>Portfolios!E28</f>
        <v>Natural Gas</v>
      </c>
      <c r="F30" s="48">
        <f>Portfolios!F28</f>
        <v>175</v>
      </c>
      <c r="H30" s="122"/>
      <c r="J30" s="122"/>
      <c r="L30" s="122"/>
      <c r="N30" s="122"/>
      <c r="Q30" s="119"/>
    </row>
    <row r="31" spans="1:17" x14ac:dyDescent="0.25">
      <c r="A31" s="153" t="s">
        <v>17</v>
      </c>
      <c r="B31" s="57">
        <v>5</v>
      </c>
      <c r="C31" s="49">
        <v>51</v>
      </c>
      <c r="D31" s="49" t="s">
        <v>21</v>
      </c>
      <c r="E31" s="49" t="str">
        <f>Portfolios!E29</f>
        <v>Nuclear</v>
      </c>
      <c r="F31" s="49">
        <f>Portfolios!F29</f>
        <v>1100</v>
      </c>
      <c r="H31" s="122"/>
      <c r="J31" s="122"/>
      <c r="L31" s="122"/>
      <c r="N31" s="122"/>
      <c r="Q31" s="119"/>
    </row>
    <row r="32" spans="1:17" x14ac:dyDescent="0.25">
      <c r="A32" s="154"/>
      <c r="B32" s="112">
        <v>5</v>
      </c>
      <c r="C32" s="113">
        <v>52</v>
      </c>
      <c r="D32" s="113" t="s">
        <v>21</v>
      </c>
      <c r="E32" s="113" t="str">
        <f>Portfolios!E30</f>
        <v>Nuclear</v>
      </c>
      <c r="F32" s="113">
        <f>Portfolios!F30</f>
        <v>950</v>
      </c>
      <c r="H32" s="122"/>
      <c r="J32" s="122"/>
      <c r="L32" s="122"/>
      <c r="N32" s="122"/>
      <c r="Q32" s="119"/>
    </row>
    <row r="33" spans="1:17" x14ac:dyDescent="0.25">
      <c r="A33" s="154"/>
      <c r="B33" s="112">
        <v>5</v>
      </c>
      <c r="C33" s="113">
        <v>53</v>
      </c>
      <c r="D33" s="113" t="s">
        <v>21</v>
      </c>
      <c r="E33" s="113" t="str">
        <f>Portfolios!E31</f>
        <v>Hydro</v>
      </c>
      <c r="F33" s="113">
        <f>Portfolios!F31</f>
        <v>650</v>
      </c>
      <c r="H33" s="122"/>
      <c r="J33" s="122"/>
      <c r="L33" s="122"/>
      <c r="N33" s="122"/>
      <c r="Q33" s="119"/>
    </row>
    <row r="34" spans="1:17" x14ac:dyDescent="0.25">
      <c r="A34" s="154"/>
      <c r="B34" s="112">
        <v>5</v>
      </c>
      <c r="C34" s="113">
        <v>54</v>
      </c>
      <c r="D34" s="113" t="s">
        <v>21</v>
      </c>
      <c r="E34" s="113" t="str">
        <f>Portfolios!E32</f>
        <v>Hydro</v>
      </c>
      <c r="F34" s="113">
        <f>Portfolios!F32</f>
        <v>450</v>
      </c>
      <c r="H34" s="122"/>
      <c r="J34" s="122"/>
      <c r="L34" s="122"/>
      <c r="N34" s="122"/>
      <c r="Q34" s="119"/>
    </row>
    <row r="35" spans="1:17" x14ac:dyDescent="0.25">
      <c r="A35" s="155"/>
      <c r="B35" s="27">
        <v>5</v>
      </c>
      <c r="C35" s="50">
        <v>55</v>
      </c>
      <c r="D35" s="50" t="s">
        <v>21</v>
      </c>
      <c r="E35" s="50" t="str">
        <f>Portfolios!E33</f>
        <v>Onshore Wind</v>
      </c>
      <c r="F35" s="50">
        <f>Portfolios!F33</f>
        <v>400</v>
      </c>
      <c r="H35" s="122"/>
      <c r="J35" s="122"/>
      <c r="L35" s="122"/>
      <c r="N35" s="122"/>
      <c r="Q35" s="119"/>
    </row>
    <row r="36" spans="1:17" x14ac:dyDescent="0.25">
      <c r="A36" s="152" t="s">
        <v>18</v>
      </c>
      <c r="B36" s="58">
        <v>6</v>
      </c>
      <c r="C36" s="59">
        <v>61</v>
      </c>
      <c r="D36" s="59" t="s">
        <v>21</v>
      </c>
      <c r="E36" s="59" t="str">
        <f>Portfolios!E34</f>
        <v>Solar</v>
      </c>
      <c r="F36" s="59">
        <f>Portfolios!F34</f>
        <v>950</v>
      </c>
      <c r="H36" s="122"/>
      <c r="J36" s="122"/>
      <c r="L36" s="122"/>
      <c r="N36" s="122"/>
      <c r="Q36" s="119"/>
    </row>
    <row r="37" spans="1:17" x14ac:dyDescent="0.25">
      <c r="A37" s="152"/>
      <c r="B37" s="33">
        <v>6</v>
      </c>
      <c r="C37" s="51">
        <v>62</v>
      </c>
      <c r="D37" s="51" t="s">
        <v>21</v>
      </c>
      <c r="E37" s="51" t="str">
        <f>Portfolios!E35</f>
        <v>Solar</v>
      </c>
      <c r="F37" s="51">
        <f>Portfolios!F35</f>
        <v>875</v>
      </c>
      <c r="H37" s="122"/>
      <c r="J37" s="122"/>
      <c r="L37" s="122"/>
      <c r="N37" s="122"/>
      <c r="Q37" s="119"/>
    </row>
    <row r="38" spans="1:17" x14ac:dyDescent="0.25">
      <c r="A38" s="152"/>
      <c r="B38" s="33">
        <v>6</v>
      </c>
      <c r="C38" s="51">
        <v>63</v>
      </c>
      <c r="D38" s="51" t="s">
        <v>21</v>
      </c>
      <c r="E38" s="51" t="str">
        <f>Portfolios!E36</f>
        <v>Hydro</v>
      </c>
      <c r="F38" s="51">
        <f>Portfolios!F36</f>
        <v>300</v>
      </c>
      <c r="H38" s="122"/>
      <c r="J38" s="122"/>
      <c r="L38" s="122"/>
      <c r="N38" s="122"/>
      <c r="Q38" s="119"/>
    </row>
    <row r="39" spans="1:17" x14ac:dyDescent="0.25">
      <c r="A39" s="152"/>
      <c r="B39" s="33">
        <v>6</v>
      </c>
      <c r="C39" s="51">
        <v>64</v>
      </c>
      <c r="D39" s="51" t="s">
        <v>21</v>
      </c>
      <c r="E39" s="51" t="str">
        <f>Portfolios!E37</f>
        <v>Hydro</v>
      </c>
      <c r="F39" s="51">
        <f>Portfolios!F37</f>
        <v>225</v>
      </c>
      <c r="H39" s="122"/>
      <c r="J39" s="122"/>
      <c r="L39" s="122"/>
      <c r="N39" s="122"/>
      <c r="Q39" s="119"/>
    </row>
    <row r="40" spans="1:17" x14ac:dyDescent="0.25">
      <c r="A40" s="152"/>
      <c r="B40" s="33">
        <v>6</v>
      </c>
      <c r="C40" s="51">
        <v>65</v>
      </c>
      <c r="D40" s="51" t="s">
        <v>21</v>
      </c>
      <c r="E40" s="51" t="str">
        <f>Portfolios!E38</f>
        <v>Natural Gas</v>
      </c>
      <c r="F40" s="51">
        <f>Portfolios!F38</f>
        <v>650</v>
      </c>
      <c r="H40" s="122"/>
      <c r="J40" s="122"/>
      <c r="L40" s="122"/>
      <c r="N40" s="122"/>
      <c r="Q40" s="119"/>
    </row>
    <row r="41" spans="1:17" x14ac:dyDescent="0.25">
      <c r="A41" s="152"/>
      <c r="B41" s="35">
        <v>6</v>
      </c>
      <c r="C41" s="52">
        <v>66</v>
      </c>
      <c r="D41" s="52" t="s">
        <v>21</v>
      </c>
      <c r="E41" s="52" t="str">
        <f>Portfolios!E39</f>
        <v>Natural Gas</v>
      </c>
      <c r="F41" s="52">
        <f>Portfolios!F39</f>
        <v>550</v>
      </c>
      <c r="H41" s="122"/>
      <c r="J41" s="122"/>
      <c r="L41" s="122"/>
      <c r="N41" s="122"/>
      <c r="Q41" s="119"/>
    </row>
    <row r="42" spans="1:17" x14ac:dyDescent="0.25">
      <c r="A42" s="145" t="s">
        <v>19</v>
      </c>
      <c r="B42" s="29">
        <v>7</v>
      </c>
      <c r="C42" s="53">
        <v>71</v>
      </c>
      <c r="D42" s="53" t="s">
        <v>21</v>
      </c>
      <c r="E42" s="53" t="str">
        <f>Portfolios!E40</f>
        <v>Coal</v>
      </c>
      <c r="F42" s="53">
        <f>Portfolios!F40</f>
        <v>1625</v>
      </c>
      <c r="H42" s="3"/>
      <c r="I42" s="3"/>
      <c r="J42" s="3"/>
      <c r="K42" s="3"/>
      <c r="L42" s="3"/>
      <c r="N42" s="3"/>
      <c r="Q42" s="119"/>
    </row>
    <row r="43" spans="1:17" x14ac:dyDescent="0.25">
      <c r="A43" s="145"/>
      <c r="B43" s="29">
        <v>7</v>
      </c>
      <c r="C43" s="53">
        <v>72</v>
      </c>
      <c r="D43" s="53" t="s">
        <v>21</v>
      </c>
      <c r="E43" s="53" t="str">
        <f>Portfolios!E41</f>
        <v>Coal</v>
      </c>
      <c r="F43" s="53">
        <f>Portfolios!F41</f>
        <v>1625</v>
      </c>
      <c r="H43" s="3"/>
      <c r="I43" s="3"/>
      <c r="J43" s="3"/>
      <c r="K43" s="3"/>
      <c r="L43" s="3"/>
      <c r="N43" s="3"/>
      <c r="Q43" s="119"/>
    </row>
    <row r="44" spans="1:17" x14ac:dyDescent="0.25">
      <c r="A44" s="145"/>
      <c r="B44" s="29">
        <v>7</v>
      </c>
      <c r="C44" s="53">
        <v>73</v>
      </c>
      <c r="D44" s="53" t="s">
        <v>21</v>
      </c>
      <c r="E44" s="53" t="str">
        <f>Portfolios!E42</f>
        <v>Onshore Wind</v>
      </c>
      <c r="F44" s="53">
        <f>Portfolios!F42</f>
        <v>450</v>
      </c>
      <c r="H44" s="3"/>
      <c r="I44" s="3"/>
      <c r="J44" s="3"/>
      <c r="K44" s="3"/>
      <c r="L44" s="3"/>
      <c r="N44" s="3"/>
      <c r="Q44" s="119"/>
    </row>
    <row r="45" spans="1:17" x14ac:dyDescent="0.25">
      <c r="A45" s="145"/>
      <c r="B45" s="29">
        <v>7</v>
      </c>
      <c r="C45" s="53">
        <v>74</v>
      </c>
      <c r="D45" s="53" t="s">
        <v>21</v>
      </c>
      <c r="E45" s="53" t="str">
        <f>Portfolios!E43</f>
        <v>Onshore Wind</v>
      </c>
      <c r="F45" s="53">
        <f>Portfolios!F43</f>
        <v>225</v>
      </c>
      <c r="H45" s="3"/>
      <c r="I45" s="3"/>
      <c r="J45" s="3"/>
      <c r="K45" s="3"/>
      <c r="L45" s="3"/>
      <c r="N45" s="3"/>
      <c r="Q45" s="119"/>
    </row>
    <row r="46" spans="1:17" x14ac:dyDescent="0.25">
      <c r="A46" s="146"/>
      <c r="B46" s="31">
        <v>7</v>
      </c>
      <c r="C46" s="54">
        <v>75</v>
      </c>
      <c r="D46" s="54" t="s">
        <v>21</v>
      </c>
      <c r="E46" s="54" t="str">
        <f>Portfolios!E44</f>
        <v>Natural Gas</v>
      </c>
      <c r="F46" s="54">
        <f>Portfolios!F44</f>
        <v>680</v>
      </c>
      <c r="H46" s="3"/>
      <c r="I46" s="3"/>
      <c r="J46" s="3"/>
      <c r="K46" s="3"/>
      <c r="L46" s="3"/>
      <c r="N46" s="3"/>
      <c r="O46" s="119"/>
      <c r="P46" s="119"/>
      <c r="Q46" s="119"/>
    </row>
    <row r="47" spans="1:17" x14ac:dyDescent="0.25">
      <c r="A47" s="119"/>
      <c r="B47" s="119"/>
      <c r="C47" s="120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</row>
    <row r="48" spans="1:17" x14ac:dyDescent="0.25">
      <c r="A48" s="119"/>
      <c r="B48" s="119"/>
      <c r="C48" s="120"/>
      <c r="H48" s="122"/>
      <c r="J48" s="122"/>
      <c r="L48" s="122"/>
      <c r="N48" s="122"/>
      <c r="O48" s="119"/>
      <c r="P48" s="119"/>
      <c r="Q48" s="119"/>
    </row>
    <row r="49" spans="1:17" x14ac:dyDescent="0.25">
      <c r="A49" s="119"/>
      <c r="B49" s="119"/>
      <c r="C49" s="120"/>
      <c r="H49" s="122"/>
      <c r="J49" s="122"/>
      <c r="L49" s="122"/>
      <c r="N49" s="122"/>
      <c r="O49" s="119"/>
      <c r="P49" s="119"/>
      <c r="Q49" s="119"/>
    </row>
    <row r="50" spans="1:17" x14ac:dyDescent="0.25">
      <c r="A50" s="119"/>
      <c r="B50" s="119"/>
      <c r="C50" s="120"/>
      <c r="H50" s="122"/>
      <c r="J50" s="122"/>
      <c r="L50" s="122"/>
      <c r="N50" s="122"/>
      <c r="O50" s="119"/>
      <c r="P50" s="119"/>
      <c r="Q50" s="119"/>
    </row>
    <row r="51" spans="1:17" x14ac:dyDescent="0.25">
      <c r="A51" s="119"/>
      <c r="B51" s="119"/>
      <c r="C51" s="120"/>
      <c r="H51" s="122"/>
      <c r="J51" s="122"/>
      <c r="L51" s="122"/>
      <c r="N51" s="122"/>
      <c r="O51" s="119"/>
      <c r="P51" s="119"/>
      <c r="Q51" s="119"/>
    </row>
    <row r="52" spans="1:17" x14ac:dyDescent="0.25">
      <c r="A52" s="119"/>
      <c r="B52" s="119"/>
      <c r="C52" s="120"/>
      <c r="H52" s="122"/>
      <c r="J52" s="122"/>
      <c r="L52" s="122"/>
      <c r="N52" s="122"/>
      <c r="O52" s="119"/>
      <c r="P52" s="119"/>
      <c r="Q52" s="119"/>
    </row>
    <row r="53" spans="1:17" x14ac:dyDescent="0.25">
      <c r="A53" s="119"/>
      <c r="B53" s="119"/>
      <c r="C53" s="120"/>
      <c r="N53" s="119"/>
      <c r="O53" s="119"/>
      <c r="P53" s="119"/>
      <c r="Q53" s="119"/>
    </row>
    <row r="54" spans="1:17" x14ac:dyDescent="0.25">
      <c r="A54" s="119"/>
      <c r="B54" s="119"/>
      <c r="C54" s="120"/>
      <c r="N54" s="119"/>
      <c r="O54" s="119"/>
      <c r="P54" s="119"/>
      <c r="Q54" s="119"/>
    </row>
    <row r="55" spans="1:17" x14ac:dyDescent="0.25">
      <c r="A55" s="119"/>
      <c r="B55" s="119"/>
      <c r="C55" s="120"/>
      <c r="N55" s="119"/>
      <c r="O55" s="119"/>
      <c r="P55" s="119"/>
      <c r="Q55" s="119"/>
    </row>
    <row r="56" spans="1:17" x14ac:dyDescent="0.25">
      <c r="A56" s="119"/>
      <c r="B56" s="119"/>
      <c r="C56" s="120"/>
      <c r="N56" s="119"/>
      <c r="O56" s="119"/>
      <c r="P56" s="119"/>
      <c r="Q56" s="119"/>
    </row>
    <row r="57" spans="1:17" x14ac:dyDescent="0.25">
      <c r="A57" s="119"/>
      <c r="B57" s="119"/>
      <c r="C57" s="120"/>
      <c r="N57" s="119"/>
      <c r="O57" s="119"/>
      <c r="P57" s="119"/>
      <c r="Q57" s="119"/>
    </row>
    <row r="58" spans="1:17" x14ac:dyDescent="0.25">
      <c r="A58" s="119"/>
      <c r="B58" s="119"/>
      <c r="C58" s="120"/>
      <c r="N58" s="119"/>
      <c r="O58" s="119"/>
      <c r="P58" s="119"/>
      <c r="Q58" s="119"/>
    </row>
    <row r="59" spans="1:17" x14ac:dyDescent="0.25">
      <c r="C59" s="120"/>
      <c r="N59" s="119"/>
      <c r="O59" s="119"/>
      <c r="P59" s="119"/>
      <c r="Q59" s="119"/>
    </row>
    <row r="67" spans="14:28" x14ac:dyDescent="0.25"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</row>
    <row r="68" spans="14:28" x14ac:dyDescent="0.25"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</row>
    <row r="69" spans="14:28" x14ac:dyDescent="0.25"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</row>
    <row r="70" spans="14:28" x14ac:dyDescent="0.25"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</row>
  </sheetData>
  <mergeCells count="11">
    <mergeCell ref="A42:A46"/>
    <mergeCell ref="G2:H2"/>
    <mergeCell ref="I2:J2"/>
    <mergeCell ref="K2:L2"/>
    <mergeCell ref="M2:N2"/>
    <mergeCell ref="A4:A8"/>
    <mergeCell ref="A9:A15"/>
    <mergeCell ref="A16:A23"/>
    <mergeCell ref="A24:A30"/>
    <mergeCell ref="A31:A35"/>
    <mergeCell ref="A36:A41"/>
  </mergeCells>
  <conditionalFormatting sqref="G4:G46">
    <cfRule type="cellIs" dxfId="7" priority="11" operator="greaterThan">
      <formula>$F4</formula>
    </cfRule>
  </conditionalFormatting>
  <conditionalFormatting sqref="G48:G52">
    <cfRule type="cellIs" dxfId="6" priority="4" operator="greaterThan">
      <formula>$F48</formula>
    </cfRule>
  </conditionalFormatting>
  <conditionalFormatting sqref="I4:I46">
    <cfRule type="cellIs" dxfId="5" priority="10" operator="greaterThan">
      <formula>$F4</formula>
    </cfRule>
  </conditionalFormatting>
  <conditionalFormatting sqref="I48:I52">
    <cfRule type="cellIs" dxfId="4" priority="3" operator="greaterThan">
      <formula>$F48</formula>
    </cfRule>
  </conditionalFormatting>
  <conditionalFormatting sqref="K4:K46">
    <cfRule type="cellIs" dxfId="3" priority="8" operator="greaterThan">
      <formula>$F4</formula>
    </cfRule>
  </conditionalFormatting>
  <conditionalFormatting sqref="K48:K52">
    <cfRule type="cellIs" dxfId="2" priority="2" operator="greaterThan">
      <formula>$F48</formula>
    </cfRule>
  </conditionalFormatting>
  <conditionalFormatting sqref="M4:M46">
    <cfRule type="cellIs" dxfId="1" priority="6" operator="greaterThan">
      <formula>$F4</formula>
    </cfRule>
  </conditionalFormatting>
  <conditionalFormatting sqref="M48:M52">
    <cfRule type="cellIs" dxfId="0" priority="1" operator="greaterThan">
      <formula>$F48</formula>
    </cfRule>
  </conditionalFormatting>
  <pageMargins left="0.7" right="0.7" top="0.75" bottom="0.75" header="0.3" footer="0.3"/>
  <pageSetup orientation="portrait" r:id="rId1"/>
  <headerFooter>
    <oddFooter>&amp;L_x000D_&amp;1#&amp;"Aptos"&amp;10&amp;K000000  PGE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93F8-74E6-42AF-93B3-7E6778FB7450}">
  <dimension ref="A1:AC47"/>
  <sheetViews>
    <sheetView zoomScale="90" zoomScaleNormal="90" workbookViewId="0">
      <selection activeCell="AF4" sqref="AF4"/>
    </sheetView>
  </sheetViews>
  <sheetFormatPr defaultRowHeight="15" x14ac:dyDescent="0.25"/>
  <cols>
    <col min="1" max="1" width="25.140625" bestFit="1" customWidth="1"/>
    <col min="5" max="5" width="14.140625" bestFit="1" customWidth="1"/>
    <col min="6" max="6" width="14.140625" customWidth="1"/>
    <col min="7" max="7" width="13" customWidth="1"/>
    <col min="8" max="8" width="1.7109375" customWidth="1"/>
    <col min="9" max="9" width="12.5703125" customWidth="1"/>
    <col min="14" max="14" width="1.7109375" customWidth="1"/>
    <col min="19" max="19" width="1.7109375" customWidth="1"/>
    <col min="24" max="24" width="1.7109375" customWidth="1"/>
    <col min="29" max="29" width="1.7109375" customWidth="1"/>
  </cols>
  <sheetData>
    <row r="1" spans="1:29" x14ac:dyDescent="0.25">
      <c r="T1" s="161" t="s">
        <v>59</v>
      </c>
      <c r="U1" s="161"/>
      <c r="V1" s="161"/>
      <c r="W1" s="161"/>
    </row>
    <row r="2" spans="1:29" x14ac:dyDescent="0.25">
      <c r="A2" t="s">
        <v>46</v>
      </c>
      <c r="B2">
        <f>Bids!Q3</f>
        <v>1</v>
      </c>
      <c r="C2" s="5"/>
      <c r="H2" s="133"/>
      <c r="J2" s="158" t="s">
        <v>53</v>
      </c>
      <c r="K2" s="158"/>
      <c r="L2" s="158"/>
      <c r="M2" s="158"/>
      <c r="N2" s="133"/>
      <c r="O2" s="158" t="s">
        <v>35</v>
      </c>
      <c r="P2" s="158"/>
      <c r="Q2" s="158"/>
      <c r="R2" s="158"/>
      <c r="S2" s="133"/>
      <c r="T2" s="158" t="s">
        <v>50</v>
      </c>
      <c r="U2" s="158"/>
      <c r="V2" s="158"/>
      <c r="W2" s="158"/>
      <c r="X2" s="133"/>
      <c r="Y2" s="158" t="s">
        <v>51</v>
      </c>
      <c r="Z2" s="158"/>
      <c r="AA2" s="158"/>
      <c r="AB2" s="158"/>
      <c r="AC2" s="133"/>
    </row>
    <row r="3" spans="1:29" x14ac:dyDescent="0.25">
      <c r="C3" s="5"/>
      <c r="H3" s="132"/>
      <c r="I3" s="9" t="s">
        <v>49</v>
      </c>
      <c r="J3" s="5">
        <f>$B$2*10+1</f>
        <v>11</v>
      </c>
      <c r="K3" s="5">
        <f>$B$2*10+2</f>
        <v>12</v>
      </c>
      <c r="L3" s="5">
        <f>$B$2*10+3</f>
        <v>13</v>
      </c>
      <c r="M3" s="5">
        <f>$B$2*10+4</f>
        <v>14</v>
      </c>
      <c r="N3" s="134"/>
      <c r="O3" s="5">
        <f>$B$2*10+1</f>
        <v>11</v>
      </c>
      <c r="P3" s="5">
        <f>$B$2*10+2</f>
        <v>12</v>
      </c>
      <c r="Q3" s="5">
        <f>$B$2*10+3</f>
        <v>13</v>
      </c>
      <c r="R3" s="5">
        <f>$B$2*10+4</f>
        <v>14</v>
      </c>
      <c r="S3" s="134"/>
      <c r="T3" s="5">
        <f>$B$2*10+1</f>
        <v>11</v>
      </c>
      <c r="U3" s="5">
        <f>$B$2*10+2</f>
        <v>12</v>
      </c>
      <c r="V3" s="5">
        <f>$B$2*10+3</f>
        <v>13</v>
      </c>
      <c r="W3" s="5">
        <f>$B$2*10+4</f>
        <v>14</v>
      </c>
      <c r="X3" s="134"/>
      <c r="Y3" s="5">
        <f>$B$2*10+1</f>
        <v>11</v>
      </c>
      <c r="Z3" s="5">
        <f>$B$2*10+2</f>
        <v>12</v>
      </c>
      <c r="AA3" s="5">
        <f>$B$2*10+3</f>
        <v>13</v>
      </c>
      <c r="AB3" s="5">
        <f>$B$2*10+4</f>
        <v>14</v>
      </c>
      <c r="AC3" s="132"/>
    </row>
    <row r="4" spans="1:29" ht="30" x14ac:dyDescent="0.25">
      <c r="A4" s="56" t="s">
        <v>11</v>
      </c>
      <c r="B4" s="56" t="s">
        <v>12</v>
      </c>
      <c r="C4" s="37" t="s">
        <v>22</v>
      </c>
      <c r="D4" s="37" t="s">
        <v>0</v>
      </c>
      <c r="E4" s="37" t="s">
        <v>10</v>
      </c>
      <c r="F4" s="56" t="s">
        <v>47</v>
      </c>
      <c r="G4" s="56" t="s">
        <v>33</v>
      </c>
      <c r="H4" s="132"/>
      <c r="N4" s="132"/>
      <c r="S4" s="132"/>
      <c r="X4" s="132"/>
      <c r="AC4" s="132"/>
    </row>
    <row r="5" spans="1:29" x14ac:dyDescent="0.25">
      <c r="A5" s="147" t="s">
        <v>13</v>
      </c>
      <c r="B5" s="10">
        <v>1</v>
      </c>
      <c r="C5" s="39">
        <v>11</v>
      </c>
      <c r="D5" s="39" t="s">
        <v>20</v>
      </c>
      <c r="E5" s="39" t="str">
        <f>Portfolios!E2</f>
        <v>Offshore Wind</v>
      </c>
      <c r="F5" s="39">
        <f>_xlfn.XLOOKUP(E5,'System Load'!$P$7:$P$15,'System Load'!$Q$7:$Q$15)</f>
        <v>6</v>
      </c>
      <c r="G5" s="39">
        <f>Portfolios!F2</f>
        <v>250</v>
      </c>
      <c r="H5" s="132"/>
      <c r="J5" s="122">
        <f>Bids!G4</f>
        <v>0</v>
      </c>
      <c r="K5" s="122">
        <f>Bids!I4</f>
        <v>0</v>
      </c>
      <c r="L5" s="122">
        <f>Bids!K4</f>
        <v>0</v>
      </c>
      <c r="M5" s="122">
        <f>Bids!M4</f>
        <v>0</v>
      </c>
      <c r="N5" s="132"/>
      <c r="O5" s="122">
        <f ca="1">Bids!H4+RAND()/100</f>
        <v>9.631831354931137E-3</v>
      </c>
      <c r="P5" s="122">
        <f ca="1">Bids!J4+RAND()/100</f>
        <v>2.4361704001101426E-3</v>
      </c>
      <c r="Q5" s="122">
        <f ca="1">Bids!L4+RAND()/100</f>
        <v>9.094181717349414E-3</v>
      </c>
      <c r="R5" s="122">
        <f ca="1">Bids!N4+RAND()/100</f>
        <v>8.9701529070488183E-3</v>
      </c>
      <c r="S5" s="132"/>
      <c r="T5" s="125" cm="1">
        <f t="array" ref="T5">IF($F5&lt;=5,1,INDEX('System Load'!$G$4:$J$35,_xlfn.XLOOKUP('Renewable Dispatch'!T$3,'System Load'!$C$4:$C$35,'System Load'!$A$4:$A$35),_xlfn.XLOOKUP($F5,'System Load'!$G$2:$J$2,'System Load'!$G$1:$J$1)))</f>
        <v>0.54509912086794587</v>
      </c>
      <c r="U5" s="125" cm="1">
        <f t="array" ref="U5">IF($F5&lt;=5,1,INDEX('System Load'!$G$4:$J$35,_xlfn.XLOOKUP('Renewable Dispatch'!U$3,'System Load'!$C$4:$C$35,'System Load'!$A$4:$A$35),_xlfn.XLOOKUP($F5,'System Load'!$G$2:$J$2,'System Load'!$G$1:$J$1)))</f>
        <v>1</v>
      </c>
      <c r="V5" s="125" cm="1">
        <f t="array" ref="V5">IF($F5&lt;=5,1,INDEX('System Load'!$G$4:$J$35,_xlfn.XLOOKUP('Renewable Dispatch'!V$3,'System Load'!$C$4:$C$35,'System Load'!$A$4:$A$35),_xlfn.XLOOKUP($F5,'System Load'!$G$2:$J$2,'System Load'!$G$1:$J$1)))</f>
        <v>0.59113402346411026</v>
      </c>
      <c r="W5" s="125" cm="1">
        <f t="array" ref="W5">IF($F5&lt;=5,1,INDEX('System Load'!$G$4:$J$35,_xlfn.XLOOKUP('Renewable Dispatch'!W$3,'System Load'!$C$4:$C$35,'System Load'!$A$4:$A$35),_xlfn.XLOOKUP($F5,'System Load'!$G$2:$J$2,'System Load'!$G$1:$J$1)))</f>
        <v>0.21486810513457685</v>
      </c>
      <c r="X5" s="132"/>
      <c r="Y5" s="159" t="s">
        <v>58</v>
      </c>
      <c r="Z5" s="160"/>
      <c r="AA5" s="160"/>
      <c r="AB5" s="160"/>
      <c r="AC5" s="132"/>
    </row>
    <row r="6" spans="1:29" x14ac:dyDescent="0.25">
      <c r="A6" s="148"/>
      <c r="B6" s="10">
        <v>1</v>
      </c>
      <c r="C6" s="39">
        <v>12</v>
      </c>
      <c r="D6" s="39" t="s">
        <v>20</v>
      </c>
      <c r="E6" s="39" t="str">
        <f>Portfolios!E3</f>
        <v>Offshore Wind</v>
      </c>
      <c r="F6" s="39">
        <f>_xlfn.XLOOKUP(E6,'System Load'!$P$7:$P$15,'System Load'!$Q$7:$Q$15)</f>
        <v>6</v>
      </c>
      <c r="G6" s="39">
        <f>Portfolios!F3</f>
        <v>250</v>
      </c>
      <c r="H6" s="132"/>
      <c r="J6" s="122">
        <f>Bids!G5</f>
        <v>0</v>
      </c>
      <c r="K6" s="122">
        <f>Bids!I5</f>
        <v>0</v>
      </c>
      <c r="L6" s="122">
        <f>Bids!K5</f>
        <v>0</v>
      </c>
      <c r="M6" s="122">
        <f>Bids!M5</f>
        <v>0</v>
      </c>
      <c r="N6" s="132"/>
      <c r="O6" s="122">
        <f ca="1">Bids!H5+RAND()/100</f>
        <v>3.5883286434900672E-3</v>
      </c>
      <c r="P6" s="122">
        <f ca="1">Bids!J5+RAND()/100</f>
        <v>3.4824346434108502E-3</v>
      </c>
      <c r="Q6" s="122">
        <f ca="1">Bids!L5+RAND()/100</f>
        <v>5.5771956935334486E-3</v>
      </c>
      <c r="R6" s="122">
        <f ca="1">Bids!N5+RAND()/100</f>
        <v>6.0237747826148913E-3</v>
      </c>
      <c r="S6" s="132"/>
      <c r="T6" s="125" cm="1">
        <f t="array" ref="T6">IF($F6&lt;=5,1,INDEX('System Load'!$G$4:$J$35,_xlfn.XLOOKUP('Renewable Dispatch'!T$3,'System Load'!$C$4:$C$35,'System Load'!$A$4:$A$35),_xlfn.XLOOKUP($F6,'System Load'!$G$2:$J$2,'System Load'!$G$1:$J$1)))</f>
        <v>0.54509912086794587</v>
      </c>
      <c r="U6" s="125" cm="1">
        <f t="array" ref="U6">IF($F6&lt;=5,1,INDEX('System Load'!$G$4:$J$35,_xlfn.XLOOKUP('Renewable Dispatch'!U$3,'System Load'!$C$4:$C$35,'System Load'!$A$4:$A$35),_xlfn.XLOOKUP($F6,'System Load'!$G$2:$J$2,'System Load'!$G$1:$J$1)))</f>
        <v>1</v>
      </c>
      <c r="V6" s="125" cm="1">
        <f t="array" ref="V6">IF($F6&lt;=5,1,INDEX('System Load'!$G$4:$J$35,_xlfn.XLOOKUP('Renewable Dispatch'!V$3,'System Load'!$C$4:$C$35,'System Load'!$A$4:$A$35),_xlfn.XLOOKUP($F6,'System Load'!$G$2:$J$2,'System Load'!$G$1:$J$1)))</f>
        <v>0.59113402346411026</v>
      </c>
      <c r="W6" s="125" cm="1">
        <f t="array" ref="W6">IF($F6&lt;=5,1,INDEX('System Load'!$G$4:$J$35,_xlfn.XLOOKUP('Renewable Dispatch'!W$3,'System Load'!$C$4:$C$35,'System Load'!$A$4:$A$35),_xlfn.XLOOKUP($F6,'System Load'!$G$2:$J$2,'System Load'!$G$1:$J$1)))</f>
        <v>0.21486810513457685</v>
      </c>
      <c r="X6" s="132"/>
      <c r="Y6" s="140"/>
      <c r="Z6" s="140"/>
      <c r="AA6" s="140"/>
      <c r="AB6" s="140"/>
      <c r="AC6" s="132"/>
    </row>
    <row r="7" spans="1:29" x14ac:dyDescent="0.25">
      <c r="A7" s="148"/>
      <c r="B7" s="10">
        <v>1</v>
      </c>
      <c r="C7" s="39">
        <v>13</v>
      </c>
      <c r="D7" s="39" t="s">
        <v>20</v>
      </c>
      <c r="E7" s="39" t="str">
        <f>Portfolios!E4</f>
        <v>Geothermal</v>
      </c>
      <c r="F7" s="39">
        <f>_xlfn.XLOOKUP(E7,'System Load'!$P$7:$P$15,'System Load'!$Q$7:$Q$15)</f>
        <v>2</v>
      </c>
      <c r="G7" s="39">
        <f>Portfolios!F4</f>
        <v>600</v>
      </c>
      <c r="H7" s="132"/>
      <c r="J7" s="122">
        <f>Bids!G6</f>
        <v>0</v>
      </c>
      <c r="K7" s="122">
        <f>Bids!I6</f>
        <v>0</v>
      </c>
      <c r="L7" s="122">
        <f>Bids!K6</f>
        <v>0</v>
      </c>
      <c r="M7" s="122">
        <f>Bids!M6</f>
        <v>0</v>
      </c>
      <c r="N7" s="132"/>
      <c r="O7" s="122">
        <f ca="1">Bids!H6+RAND()/100</f>
        <v>1.1145572620996781E-3</v>
      </c>
      <c r="P7" s="122">
        <f ca="1">Bids!J6+RAND()/100</f>
        <v>2.717832081061048E-3</v>
      </c>
      <c r="Q7" s="122">
        <f ca="1">Bids!L6+RAND()/100</f>
        <v>1.2309629840055924E-3</v>
      </c>
      <c r="R7" s="122">
        <f ca="1">Bids!N6+RAND()/100</f>
        <v>2.059959424140537E-3</v>
      </c>
      <c r="S7" s="132"/>
      <c r="T7" s="125" cm="1">
        <f t="array" ref="T7">IF($F7&lt;=5,1,INDEX('System Load'!$G$4:$J$35,_xlfn.XLOOKUP('Renewable Dispatch'!T$3,'System Load'!$C$4:$C$35,'System Load'!$A$4:$A$35),_xlfn.XLOOKUP($F7,'System Load'!$G$2:$J$2,'System Load'!$G$1:$J$1)))</f>
        <v>1</v>
      </c>
      <c r="U7" s="125" cm="1">
        <f t="array" ref="U7">IF($F7&lt;=5,1,INDEX('System Load'!$G$4:$J$35,_xlfn.XLOOKUP('Renewable Dispatch'!U$3,'System Load'!$C$4:$C$35,'System Load'!$A$4:$A$35),_xlfn.XLOOKUP($F7,'System Load'!$G$2:$J$2,'System Load'!$G$1:$J$1)))</f>
        <v>1</v>
      </c>
      <c r="V7" s="125" cm="1">
        <f t="array" ref="V7">IF($F7&lt;=5,1,INDEX('System Load'!$G$4:$J$35,_xlfn.XLOOKUP('Renewable Dispatch'!V$3,'System Load'!$C$4:$C$35,'System Load'!$A$4:$A$35),_xlfn.XLOOKUP($F7,'System Load'!$G$2:$J$2,'System Load'!$G$1:$J$1)))</f>
        <v>1</v>
      </c>
      <c r="W7" s="125" cm="1">
        <f t="array" ref="W7">IF($F7&lt;=5,1,INDEX('System Load'!$G$4:$J$35,_xlfn.XLOOKUP('Renewable Dispatch'!W$3,'System Load'!$C$4:$C$35,'System Load'!$A$4:$A$35),_xlfn.XLOOKUP($F7,'System Load'!$G$2:$J$2,'System Load'!$G$1:$J$1)))</f>
        <v>1</v>
      </c>
      <c r="X7" s="132"/>
      <c r="Y7" s="140"/>
      <c r="Z7" s="140"/>
      <c r="AA7" s="140"/>
      <c r="AB7" s="140"/>
      <c r="AC7" s="132"/>
    </row>
    <row r="8" spans="1:29" x14ac:dyDescent="0.25">
      <c r="A8" s="148"/>
      <c r="B8" s="10">
        <v>1</v>
      </c>
      <c r="C8" s="39">
        <v>14</v>
      </c>
      <c r="D8" s="39" t="s">
        <v>20</v>
      </c>
      <c r="E8" s="39" t="str">
        <f>Portfolios!E5</f>
        <v>Geothermal</v>
      </c>
      <c r="F8" s="39">
        <f>_xlfn.XLOOKUP(E8,'System Load'!$P$7:$P$15,'System Load'!$Q$7:$Q$15)</f>
        <v>2</v>
      </c>
      <c r="G8" s="39">
        <f>Portfolios!F5</f>
        <v>600</v>
      </c>
      <c r="H8" s="132"/>
      <c r="J8" s="122">
        <f>Bids!G7</f>
        <v>0</v>
      </c>
      <c r="K8" s="122">
        <f>Bids!I7</f>
        <v>0</v>
      </c>
      <c r="L8" s="122">
        <f>Bids!K7</f>
        <v>0</v>
      </c>
      <c r="M8" s="122">
        <f>Bids!M7</f>
        <v>0</v>
      </c>
      <c r="N8" s="132"/>
      <c r="O8" s="122">
        <f ca="1">Bids!H7+RAND()/100</f>
        <v>3.7627597334451259E-3</v>
      </c>
      <c r="P8" s="122">
        <f ca="1">Bids!J7+RAND()/100</f>
        <v>1.8685250328866921E-3</v>
      </c>
      <c r="Q8" s="122">
        <f ca="1">Bids!L7+RAND()/100</f>
        <v>6.2003013274081606E-3</v>
      </c>
      <c r="R8" s="122">
        <f ca="1">Bids!N7+RAND()/100</f>
        <v>3.9322138178418901E-3</v>
      </c>
      <c r="S8" s="132"/>
      <c r="T8" s="125" cm="1">
        <f t="array" ref="T8">IF($F8&lt;=5,1,INDEX('System Load'!$G$4:$J$35,_xlfn.XLOOKUP('Renewable Dispatch'!T$3,'System Load'!$C$4:$C$35,'System Load'!$A$4:$A$35),_xlfn.XLOOKUP($F8,'System Load'!$G$2:$J$2,'System Load'!$G$1:$J$1)))</f>
        <v>1</v>
      </c>
      <c r="U8" s="125" cm="1">
        <f t="array" ref="U8">IF($F8&lt;=5,1,INDEX('System Load'!$G$4:$J$35,_xlfn.XLOOKUP('Renewable Dispatch'!U$3,'System Load'!$C$4:$C$35,'System Load'!$A$4:$A$35),_xlfn.XLOOKUP($F8,'System Load'!$G$2:$J$2,'System Load'!$G$1:$J$1)))</f>
        <v>1</v>
      </c>
      <c r="V8" s="125" cm="1">
        <f t="array" ref="V8">IF($F8&lt;=5,1,INDEX('System Load'!$G$4:$J$35,_xlfn.XLOOKUP('Renewable Dispatch'!V$3,'System Load'!$C$4:$C$35,'System Load'!$A$4:$A$35),_xlfn.XLOOKUP($F8,'System Load'!$G$2:$J$2,'System Load'!$G$1:$J$1)))</f>
        <v>1</v>
      </c>
      <c r="W8" s="125" cm="1">
        <f t="array" ref="W8">IF($F8&lt;=5,1,INDEX('System Load'!$G$4:$J$35,_xlfn.XLOOKUP('Renewable Dispatch'!W$3,'System Load'!$C$4:$C$35,'System Load'!$A$4:$A$35),_xlfn.XLOOKUP($F8,'System Load'!$G$2:$J$2,'System Load'!$G$1:$J$1)))</f>
        <v>1</v>
      </c>
      <c r="X8" s="132"/>
      <c r="Y8" s="140"/>
      <c r="Z8" s="140"/>
      <c r="AA8" s="140"/>
      <c r="AB8" s="140"/>
      <c r="AC8" s="132"/>
    </row>
    <row r="9" spans="1:29" x14ac:dyDescent="0.25">
      <c r="A9" s="148"/>
      <c r="B9" s="12">
        <v>1</v>
      </c>
      <c r="C9" s="40">
        <v>15</v>
      </c>
      <c r="D9" s="40" t="s">
        <v>20</v>
      </c>
      <c r="E9" s="40" t="str">
        <f>Portfolios!E6</f>
        <v>Geothermal</v>
      </c>
      <c r="F9" s="40">
        <f>_xlfn.XLOOKUP(E9,'System Load'!$P$7:$P$15,'System Load'!$Q$7:$Q$15)</f>
        <v>2</v>
      </c>
      <c r="G9" s="40">
        <f>Portfolios!F6</f>
        <v>475</v>
      </c>
      <c r="H9" s="132"/>
      <c r="J9" s="122">
        <f>Bids!G8</f>
        <v>0</v>
      </c>
      <c r="K9" s="122">
        <f>Bids!I8</f>
        <v>0</v>
      </c>
      <c r="L9" s="122">
        <f>Bids!K8</f>
        <v>0</v>
      </c>
      <c r="M9" s="122">
        <f>Bids!M8</f>
        <v>0</v>
      </c>
      <c r="N9" s="132"/>
      <c r="O9" s="122">
        <f ca="1">Bids!H8+RAND()/100</f>
        <v>3.1073860676685983E-3</v>
      </c>
      <c r="P9" s="122">
        <f ca="1">Bids!J8+RAND()/100</f>
        <v>2.5042713683124797E-3</v>
      </c>
      <c r="Q9" s="122">
        <f ca="1">Bids!L8+RAND()/100</f>
        <v>9.0889925055192052E-3</v>
      </c>
      <c r="R9" s="122">
        <f ca="1">Bids!N8+RAND()/100</f>
        <v>6.8736048205943808E-4</v>
      </c>
      <c r="S9" s="132"/>
      <c r="T9" s="125" cm="1">
        <f t="array" ref="T9">IF($F9&lt;=5,1,INDEX('System Load'!$G$4:$J$35,_xlfn.XLOOKUP('Renewable Dispatch'!T$3,'System Load'!$C$4:$C$35,'System Load'!$A$4:$A$35),_xlfn.XLOOKUP($F9,'System Load'!$G$2:$J$2,'System Load'!$G$1:$J$1)))</f>
        <v>1</v>
      </c>
      <c r="U9" s="125" cm="1">
        <f t="array" ref="U9">IF($F9&lt;=5,1,INDEX('System Load'!$G$4:$J$35,_xlfn.XLOOKUP('Renewable Dispatch'!U$3,'System Load'!$C$4:$C$35,'System Load'!$A$4:$A$35),_xlfn.XLOOKUP($F9,'System Load'!$G$2:$J$2,'System Load'!$G$1:$J$1)))</f>
        <v>1</v>
      </c>
      <c r="V9" s="125" cm="1">
        <f t="array" ref="V9">IF($F9&lt;=5,1,INDEX('System Load'!$G$4:$J$35,_xlfn.XLOOKUP('Renewable Dispatch'!V$3,'System Load'!$C$4:$C$35,'System Load'!$A$4:$A$35),_xlfn.XLOOKUP($F9,'System Load'!$G$2:$J$2,'System Load'!$G$1:$J$1)))</f>
        <v>1</v>
      </c>
      <c r="W9" s="125" cm="1">
        <f t="array" ref="W9">IF($F9&lt;=5,1,INDEX('System Load'!$G$4:$J$35,_xlfn.XLOOKUP('Renewable Dispatch'!W$3,'System Load'!$C$4:$C$35,'System Load'!$A$4:$A$35),_xlfn.XLOOKUP($F9,'System Load'!$G$2:$J$2,'System Load'!$G$1:$J$1)))</f>
        <v>1</v>
      </c>
      <c r="X9" s="132"/>
      <c r="Y9" s="140"/>
      <c r="Z9" s="140"/>
      <c r="AA9" s="140"/>
      <c r="AB9" s="140"/>
      <c r="AC9" s="132"/>
    </row>
    <row r="10" spans="1:29" x14ac:dyDescent="0.25">
      <c r="A10" s="149" t="s">
        <v>14</v>
      </c>
      <c r="B10" s="61">
        <v>2</v>
      </c>
      <c r="C10" s="62">
        <v>21</v>
      </c>
      <c r="D10" s="62" t="s">
        <v>20</v>
      </c>
      <c r="E10" s="62" t="str">
        <f>Portfolios!E7</f>
        <v>Hydro</v>
      </c>
      <c r="F10" s="62">
        <f>_xlfn.XLOOKUP(E10,'System Load'!$P$7:$P$15,'System Load'!$Q$7:$Q$15)</f>
        <v>3</v>
      </c>
      <c r="G10" s="62">
        <f>Portfolios!F7</f>
        <v>145</v>
      </c>
      <c r="H10" s="132"/>
      <c r="J10" s="122">
        <f>Bids!G9</f>
        <v>0</v>
      </c>
      <c r="K10" s="122">
        <f>Bids!I9</f>
        <v>0</v>
      </c>
      <c r="L10" s="122">
        <f>Bids!K9</f>
        <v>0</v>
      </c>
      <c r="M10" s="122">
        <f>Bids!M9</f>
        <v>0</v>
      </c>
      <c r="N10" s="132"/>
      <c r="O10" s="122">
        <f ca="1">Bids!H9+RAND()/100</f>
        <v>2.7816634464849477E-3</v>
      </c>
      <c r="P10" s="122">
        <f ca="1">Bids!J9+RAND()/100</f>
        <v>1.3531346889022943E-3</v>
      </c>
      <c r="Q10" s="122">
        <f ca="1">Bids!L9+RAND()/100</f>
        <v>4.8217992420312327E-4</v>
      </c>
      <c r="R10" s="122">
        <f ca="1">Bids!N9+RAND()/100</f>
        <v>9.4034661117095696E-3</v>
      </c>
      <c r="S10" s="132"/>
      <c r="T10" s="125" cm="1">
        <f t="array" ref="T10">IF($F10&lt;=5,1,INDEX('System Load'!$G$4:$J$35,_xlfn.XLOOKUP('Renewable Dispatch'!T$3,'System Load'!$C$4:$C$35,'System Load'!$A$4:$A$35),_xlfn.XLOOKUP($F10,'System Load'!$G$2:$J$2,'System Load'!$G$1:$J$1)))</f>
        <v>1</v>
      </c>
      <c r="U10" s="125" cm="1">
        <f t="array" ref="U10">IF($F10&lt;=5,1,INDEX('System Load'!$G$4:$J$35,_xlfn.XLOOKUP('Renewable Dispatch'!U$3,'System Load'!$C$4:$C$35,'System Load'!$A$4:$A$35),_xlfn.XLOOKUP($F10,'System Load'!$G$2:$J$2,'System Load'!$G$1:$J$1)))</f>
        <v>1</v>
      </c>
      <c r="V10" s="125" cm="1">
        <f t="array" ref="V10">IF($F10&lt;=5,1,INDEX('System Load'!$G$4:$J$35,_xlfn.XLOOKUP('Renewable Dispatch'!V$3,'System Load'!$C$4:$C$35,'System Load'!$A$4:$A$35),_xlfn.XLOOKUP($F10,'System Load'!$G$2:$J$2,'System Load'!$G$1:$J$1)))</f>
        <v>1</v>
      </c>
      <c r="W10" s="125" cm="1">
        <f t="array" ref="W10">IF($F10&lt;=5,1,INDEX('System Load'!$G$4:$J$35,_xlfn.XLOOKUP('Renewable Dispatch'!W$3,'System Load'!$C$4:$C$35,'System Load'!$A$4:$A$35),_xlfn.XLOOKUP($F10,'System Load'!$G$2:$J$2,'System Load'!$G$1:$J$1)))</f>
        <v>1</v>
      </c>
      <c r="X10" s="132"/>
      <c r="Y10" s="140"/>
      <c r="Z10" s="140"/>
      <c r="AA10" s="140"/>
      <c r="AB10" s="140"/>
      <c r="AC10" s="132"/>
    </row>
    <row r="11" spans="1:29" x14ac:dyDescent="0.25">
      <c r="A11" s="149"/>
      <c r="B11" s="14">
        <v>2</v>
      </c>
      <c r="C11" s="41">
        <v>22</v>
      </c>
      <c r="D11" s="41" t="s">
        <v>20</v>
      </c>
      <c r="E11" s="41" t="str">
        <f>Portfolios!E8</f>
        <v>Hydro</v>
      </c>
      <c r="F11" s="41">
        <f>_xlfn.XLOOKUP(E11,'System Load'!$P$7:$P$15,'System Load'!$Q$7:$Q$15)</f>
        <v>3</v>
      </c>
      <c r="G11" s="41">
        <f>Portfolios!F8</f>
        <v>145</v>
      </c>
      <c r="H11" s="132"/>
      <c r="J11" s="122">
        <f>Bids!G10</f>
        <v>0</v>
      </c>
      <c r="K11" s="122">
        <f>Bids!I10</f>
        <v>0</v>
      </c>
      <c r="L11" s="122">
        <f>Bids!K10</f>
        <v>0</v>
      </c>
      <c r="M11" s="122">
        <f>Bids!M10</f>
        <v>0</v>
      </c>
      <c r="N11" s="132"/>
      <c r="O11" s="122">
        <f ca="1">Bids!H10+RAND()/100</f>
        <v>4.1801121851064082E-3</v>
      </c>
      <c r="P11" s="122">
        <f ca="1">Bids!J10+RAND()/100</f>
        <v>3.5956765517727606E-3</v>
      </c>
      <c r="Q11" s="122">
        <f ca="1">Bids!L10+RAND()/100</f>
        <v>8.7799037172488475E-3</v>
      </c>
      <c r="R11" s="122">
        <f ca="1">Bids!N10+RAND()/100</f>
        <v>9.0795362551163578E-3</v>
      </c>
      <c r="S11" s="132"/>
      <c r="T11" s="125" cm="1">
        <f t="array" ref="T11">IF($F11&lt;=5,1,INDEX('System Load'!$G$4:$J$35,_xlfn.XLOOKUP('Renewable Dispatch'!T$3,'System Load'!$C$4:$C$35,'System Load'!$A$4:$A$35),_xlfn.XLOOKUP($F11,'System Load'!$G$2:$J$2,'System Load'!$G$1:$J$1)))</f>
        <v>1</v>
      </c>
      <c r="U11" s="125" cm="1">
        <f t="array" ref="U11">IF($F11&lt;=5,1,INDEX('System Load'!$G$4:$J$35,_xlfn.XLOOKUP('Renewable Dispatch'!U$3,'System Load'!$C$4:$C$35,'System Load'!$A$4:$A$35),_xlfn.XLOOKUP($F11,'System Load'!$G$2:$J$2,'System Load'!$G$1:$J$1)))</f>
        <v>1</v>
      </c>
      <c r="V11" s="125" cm="1">
        <f t="array" ref="V11">IF($F11&lt;=5,1,INDEX('System Load'!$G$4:$J$35,_xlfn.XLOOKUP('Renewable Dispatch'!V$3,'System Load'!$C$4:$C$35,'System Load'!$A$4:$A$35),_xlfn.XLOOKUP($F11,'System Load'!$G$2:$J$2,'System Load'!$G$1:$J$1)))</f>
        <v>1</v>
      </c>
      <c r="W11" s="125" cm="1">
        <f t="array" ref="W11">IF($F11&lt;=5,1,INDEX('System Load'!$G$4:$J$35,_xlfn.XLOOKUP('Renewable Dispatch'!W$3,'System Load'!$C$4:$C$35,'System Load'!$A$4:$A$35),_xlfn.XLOOKUP($F11,'System Load'!$G$2:$J$2,'System Load'!$G$1:$J$1)))</f>
        <v>1</v>
      </c>
      <c r="X11" s="132"/>
      <c r="Y11" s="140"/>
      <c r="Z11" s="140"/>
      <c r="AA11" s="140"/>
      <c r="AB11" s="140"/>
      <c r="AC11" s="132"/>
    </row>
    <row r="12" spans="1:29" x14ac:dyDescent="0.25">
      <c r="A12" s="149"/>
      <c r="B12" s="14">
        <v>2</v>
      </c>
      <c r="C12" s="41">
        <v>23</v>
      </c>
      <c r="D12" s="41" t="s">
        <v>20</v>
      </c>
      <c r="E12" s="41" t="str">
        <f>Portfolios!E9</f>
        <v>Natural Gas</v>
      </c>
      <c r="F12" s="41">
        <f>_xlfn.XLOOKUP(E12,'System Load'!$P$7:$P$15,'System Load'!$Q$7:$Q$15)</f>
        <v>4</v>
      </c>
      <c r="G12" s="41">
        <f>Portfolios!F9</f>
        <v>750</v>
      </c>
      <c r="H12" s="132"/>
      <c r="J12" s="122">
        <f>Bids!G11</f>
        <v>0</v>
      </c>
      <c r="K12" s="122">
        <f>Bids!I11</f>
        <v>0</v>
      </c>
      <c r="L12" s="122">
        <f>Bids!K11</f>
        <v>0</v>
      </c>
      <c r="M12" s="122">
        <f>Bids!M11</f>
        <v>0</v>
      </c>
      <c r="N12" s="132"/>
      <c r="O12" s="122">
        <f ca="1">Bids!H11+RAND()/100</f>
        <v>8.3019908488550682E-3</v>
      </c>
      <c r="P12" s="122">
        <f ca="1">Bids!J11+RAND()/100</f>
        <v>2.8726005307213144E-4</v>
      </c>
      <c r="Q12" s="122">
        <f ca="1">Bids!L11+RAND()/100</f>
        <v>4.1682407658502662E-3</v>
      </c>
      <c r="R12" s="122">
        <f ca="1">Bids!N11+RAND()/100</f>
        <v>6.4821186139558083E-3</v>
      </c>
      <c r="S12" s="132"/>
      <c r="T12" s="125" cm="1">
        <f t="array" ref="T12">IF($F12&lt;=5,1,INDEX('System Load'!$G$4:$J$35,_xlfn.XLOOKUP('Renewable Dispatch'!T$3,'System Load'!$C$4:$C$35,'System Load'!$A$4:$A$35),_xlfn.XLOOKUP($F12,'System Load'!$G$2:$J$2,'System Load'!$G$1:$J$1)))</f>
        <v>1</v>
      </c>
      <c r="U12" s="125" cm="1">
        <f t="array" ref="U12">IF($F12&lt;=5,1,INDEX('System Load'!$G$4:$J$35,_xlfn.XLOOKUP('Renewable Dispatch'!U$3,'System Load'!$C$4:$C$35,'System Load'!$A$4:$A$35),_xlfn.XLOOKUP($F12,'System Load'!$G$2:$J$2,'System Load'!$G$1:$J$1)))</f>
        <v>1</v>
      </c>
      <c r="V12" s="125" cm="1">
        <f t="array" ref="V12">IF($F12&lt;=5,1,INDEX('System Load'!$G$4:$J$35,_xlfn.XLOOKUP('Renewable Dispatch'!V$3,'System Load'!$C$4:$C$35,'System Load'!$A$4:$A$35),_xlfn.XLOOKUP($F12,'System Load'!$G$2:$J$2,'System Load'!$G$1:$J$1)))</f>
        <v>1</v>
      </c>
      <c r="W12" s="125" cm="1">
        <f t="array" ref="W12">IF($F12&lt;=5,1,INDEX('System Load'!$G$4:$J$35,_xlfn.XLOOKUP('Renewable Dispatch'!W$3,'System Load'!$C$4:$C$35,'System Load'!$A$4:$A$35),_xlfn.XLOOKUP($F12,'System Load'!$G$2:$J$2,'System Load'!$G$1:$J$1)))</f>
        <v>1</v>
      </c>
      <c r="X12" s="132"/>
      <c r="Y12" s="140"/>
      <c r="Z12" s="140"/>
      <c r="AA12" s="140"/>
      <c r="AB12" s="140"/>
      <c r="AC12" s="132"/>
    </row>
    <row r="13" spans="1:29" x14ac:dyDescent="0.25">
      <c r="A13" s="149"/>
      <c r="B13" s="14">
        <v>2</v>
      </c>
      <c r="C13" s="41">
        <v>24</v>
      </c>
      <c r="D13" s="41" t="s">
        <v>20</v>
      </c>
      <c r="E13" s="41" t="str">
        <f>Portfolios!E10</f>
        <v>Natural Gas</v>
      </c>
      <c r="F13" s="41">
        <f>_xlfn.XLOOKUP(E13,'System Load'!$P$7:$P$15,'System Load'!$Q$7:$Q$15)</f>
        <v>4</v>
      </c>
      <c r="G13" s="41">
        <f>Portfolios!F10</f>
        <v>720</v>
      </c>
      <c r="H13" s="132"/>
      <c r="J13" s="122">
        <f>Bids!G12</f>
        <v>0</v>
      </c>
      <c r="K13" s="122">
        <f>Bids!I12</f>
        <v>0</v>
      </c>
      <c r="L13" s="122">
        <f>Bids!K12</f>
        <v>0</v>
      </c>
      <c r="M13" s="122">
        <f>Bids!M12</f>
        <v>0</v>
      </c>
      <c r="N13" s="132"/>
      <c r="O13" s="122">
        <f ca="1">Bids!H12+RAND()/100</f>
        <v>9.873687860335479E-3</v>
      </c>
      <c r="P13" s="122">
        <f ca="1">Bids!J12+RAND()/100</f>
        <v>6.4936958450907299E-4</v>
      </c>
      <c r="Q13" s="122">
        <f ca="1">Bids!L12+RAND()/100</f>
        <v>2.0202790374489053E-3</v>
      </c>
      <c r="R13" s="122">
        <f ca="1">Bids!N12+RAND()/100</f>
        <v>4.2503586000959635E-3</v>
      </c>
      <c r="S13" s="132"/>
      <c r="T13" s="125" cm="1">
        <f t="array" ref="T13">IF($F13&lt;=5,1,INDEX('System Load'!$G$4:$J$35,_xlfn.XLOOKUP('Renewable Dispatch'!T$3,'System Load'!$C$4:$C$35,'System Load'!$A$4:$A$35),_xlfn.XLOOKUP($F13,'System Load'!$G$2:$J$2,'System Load'!$G$1:$J$1)))</f>
        <v>1</v>
      </c>
      <c r="U13" s="125" cm="1">
        <f t="array" ref="U13">IF($F13&lt;=5,1,INDEX('System Load'!$G$4:$J$35,_xlfn.XLOOKUP('Renewable Dispatch'!U$3,'System Load'!$C$4:$C$35,'System Load'!$A$4:$A$35),_xlfn.XLOOKUP($F13,'System Load'!$G$2:$J$2,'System Load'!$G$1:$J$1)))</f>
        <v>1</v>
      </c>
      <c r="V13" s="125" cm="1">
        <f t="array" ref="V13">IF($F13&lt;=5,1,INDEX('System Load'!$G$4:$J$35,_xlfn.XLOOKUP('Renewable Dispatch'!V$3,'System Load'!$C$4:$C$35,'System Load'!$A$4:$A$35),_xlfn.XLOOKUP($F13,'System Load'!$G$2:$J$2,'System Load'!$G$1:$J$1)))</f>
        <v>1</v>
      </c>
      <c r="W13" s="125" cm="1">
        <f t="array" ref="W13">IF($F13&lt;=5,1,INDEX('System Load'!$G$4:$J$35,_xlfn.XLOOKUP('Renewable Dispatch'!W$3,'System Load'!$C$4:$C$35,'System Load'!$A$4:$A$35),_xlfn.XLOOKUP($F13,'System Load'!$G$2:$J$2,'System Load'!$G$1:$J$1)))</f>
        <v>1</v>
      </c>
      <c r="X13" s="132"/>
      <c r="Y13" s="140"/>
      <c r="Z13" s="140"/>
      <c r="AA13" s="140"/>
      <c r="AB13" s="140"/>
      <c r="AC13" s="132"/>
    </row>
    <row r="14" spans="1:29" x14ac:dyDescent="0.25">
      <c r="A14" s="149"/>
      <c r="B14" s="14">
        <v>2</v>
      </c>
      <c r="C14" s="41">
        <v>25</v>
      </c>
      <c r="D14" s="41" t="s">
        <v>20</v>
      </c>
      <c r="E14" s="41" t="str">
        <f>Portfolios!E11</f>
        <v>Natural Gas</v>
      </c>
      <c r="F14" s="41">
        <f>_xlfn.XLOOKUP(E14,'System Load'!$P$7:$P$15,'System Load'!$Q$7:$Q$15)</f>
        <v>4</v>
      </c>
      <c r="G14" s="41">
        <f>Portfolios!F11</f>
        <v>650</v>
      </c>
      <c r="H14" s="132"/>
      <c r="J14" s="122">
        <f>Bids!G13</f>
        <v>0</v>
      </c>
      <c r="K14" s="122">
        <f>Bids!I13</f>
        <v>0</v>
      </c>
      <c r="L14" s="122">
        <f>Bids!K13</f>
        <v>0</v>
      </c>
      <c r="M14" s="122">
        <f>Bids!M13</f>
        <v>0</v>
      </c>
      <c r="N14" s="132"/>
      <c r="O14" s="122">
        <f ca="1">Bids!H13+RAND()/100</f>
        <v>4.1751221747964306E-4</v>
      </c>
      <c r="P14" s="122">
        <f ca="1">Bids!J13+RAND()/100</f>
        <v>8.8225356830985476E-3</v>
      </c>
      <c r="Q14" s="122">
        <f ca="1">Bids!L13+RAND()/100</f>
        <v>6.6054138890894089E-3</v>
      </c>
      <c r="R14" s="122">
        <f ca="1">Bids!N13+RAND()/100</f>
        <v>4.1901239246798149E-3</v>
      </c>
      <c r="S14" s="132"/>
      <c r="T14" s="125" cm="1">
        <f t="array" ref="T14">IF($F14&lt;=5,1,INDEX('System Load'!$G$4:$J$35,_xlfn.XLOOKUP('Renewable Dispatch'!T$3,'System Load'!$C$4:$C$35,'System Load'!$A$4:$A$35),_xlfn.XLOOKUP($F14,'System Load'!$G$2:$J$2,'System Load'!$G$1:$J$1)))</f>
        <v>1</v>
      </c>
      <c r="U14" s="125" cm="1">
        <f t="array" ref="U14">IF($F14&lt;=5,1,INDEX('System Load'!$G$4:$J$35,_xlfn.XLOOKUP('Renewable Dispatch'!U$3,'System Load'!$C$4:$C$35,'System Load'!$A$4:$A$35),_xlfn.XLOOKUP($F14,'System Load'!$G$2:$J$2,'System Load'!$G$1:$J$1)))</f>
        <v>1</v>
      </c>
      <c r="V14" s="125" cm="1">
        <f t="array" ref="V14">IF($F14&lt;=5,1,INDEX('System Load'!$G$4:$J$35,_xlfn.XLOOKUP('Renewable Dispatch'!V$3,'System Load'!$C$4:$C$35,'System Load'!$A$4:$A$35),_xlfn.XLOOKUP($F14,'System Load'!$G$2:$J$2,'System Load'!$G$1:$J$1)))</f>
        <v>1</v>
      </c>
      <c r="W14" s="125" cm="1">
        <f t="array" ref="W14">IF($F14&lt;=5,1,INDEX('System Load'!$G$4:$J$35,_xlfn.XLOOKUP('Renewable Dispatch'!W$3,'System Load'!$C$4:$C$35,'System Load'!$A$4:$A$35),_xlfn.XLOOKUP($F14,'System Load'!$G$2:$J$2,'System Load'!$G$1:$J$1)))</f>
        <v>1</v>
      </c>
      <c r="X14" s="132"/>
      <c r="Y14" s="140"/>
      <c r="Z14" s="140"/>
      <c r="AA14" s="140"/>
      <c r="AB14" s="140"/>
      <c r="AC14" s="132"/>
    </row>
    <row r="15" spans="1:29" x14ac:dyDescent="0.25">
      <c r="A15" s="149"/>
      <c r="B15" s="14">
        <v>2</v>
      </c>
      <c r="C15" s="41">
        <v>26</v>
      </c>
      <c r="D15" s="41" t="s">
        <v>20</v>
      </c>
      <c r="E15" s="41" t="str">
        <f>Portfolios!E12</f>
        <v>Natural Gas</v>
      </c>
      <c r="F15" s="41">
        <f>_xlfn.XLOOKUP(E15,'System Load'!$P$7:$P$15,'System Load'!$Q$7:$Q$15)</f>
        <v>4</v>
      </c>
      <c r="G15" s="41">
        <f>Portfolios!F12</f>
        <v>600</v>
      </c>
      <c r="H15" s="132"/>
      <c r="J15" s="122">
        <f>Bids!G14</f>
        <v>0</v>
      </c>
      <c r="K15" s="122">
        <f>Bids!I14</f>
        <v>0</v>
      </c>
      <c r="L15" s="122">
        <f>Bids!K14</f>
        <v>0</v>
      </c>
      <c r="M15" s="122">
        <f>Bids!M14</f>
        <v>0</v>
      </c>
      <c r="N15" s="132"/>
      <c r="O15" s="122">
        <f ca="1">Bids!H14+RAND()/100</f>
        <v>1.9378093410449659E-3</v>
      </c>
      <c r="P15" s="122">
        <f ca="1">Bids!J14+RAND()/100</f>
        <v>3.6290407292845573E-3</v>
      </c>
      <c r="Q15" s="122">
        <f ca="1">Bids!L14+RAND()/100</f>
        <v>4.2234294970738984E-3</v>
      </c>
      <c r="R15" s="122">
        <f ca="1">Bids!N14+RAND()/100</f>
        <v>8.2908651459822121E-3</v>
      </c>
      <c r="S15" s="132"/>
      <c r="T15" s="125" cm="1">
        <f t="array" ref="T15">IF($F15&lt;=5,1,INDEX('System Load'!$G$4:$J$35,_xlfn.XLOOKUP('Renewable Dispatch'!T$3,'System Load'!$C$4:$C$35,'System Load'!$A$4:$A$35),_xlfn.XLOOKUP($F15,'System Load'!$G$2:$J$2,'System Load'!$G$1:$J$1)))</f>
        <v>1</v>
      </c>
      <c r="U15" s="125" cm="1">
        <f t="array" ref="U15">IF($F15&lt;=5,1,INDEX('System Load'!$G$4:$J$35,_xlfn.XLOOKUP('Renewable Dispatch'!U$3,'System Load'!$C$4:$C$35,'System Load'!$A$4:$A$35),_xlfn.XLOOKUP($F15,'System Load'!$G$2:$J$2,'System Load'!$G$1:$J$1)))</f>
        <v>1</v>
      </c>
      <c r="V15" s="125" cm="1">
        <f t="array" ref="V15">IF($F15&lt;=5,1,INDEX('System Load'!$G$4:$J$35,_xlfn.XLOOKUP('Renewable Dispatch'!V$3,'System Load'!$C$4:$C$35,'System Load'!$A$4:$A$35),_xlfn.XLOOKUP($F15,'System Load'!$G$2:$J$2,'System Load'!$G$1:$J$1)))</f>
        <v>1</v>
      </c>
      <c r="W15" s="125" cm="1">
        <f t="array" ref="W15">IF($F15&lt;=5,1,INDEX('System Load'!$G$4:$J$35,_xlfn.XLOOKUP('Renewable Dispatch'!W$3,'System Load'!$C$4:$C$35,'System Load'!$A$4:$A$35),_xlfn.XLOOKUP($F15,'System Load'!$G$2:$J$2,'System Load'!$G$1:$J$1)))</f>
        <v>1</v>
      </c>
      <c r="X15" s="132"/>
      <c r="Y15" s="140"/>
      <c r="Z15" s="140"/>
      <c r="AA15" s="140"/>
      <c r="AB15" s="140"/>
      <c r="AC15" s="132"/>
    </row>
    <row r="16" spans="1:29" x14ac:dyDescent="0.25">
      <c r="A16" s="149"/>
      <c r="B16" s="16">
        <v>2</v>
      </c>
      <c r="C16" s="42">
        <v>27</v>
      </c>
      <c r="D16" s="42" t="s">
        <v>20</v>
      </c>
      <c r="E16" s="42" t="str">
        <f>Portfolios!E13</f>
        <v>Solar</v>
      </c>
      <c r="F16" s="42">
        <f>_xlfn.XLOOKUP(E16,'System Load'!$P$7:$P$15,'System Load'!$Q$7:$Q$15)</f>
        <v>8</v>
      </c>
      <c r="G16" s="42">
        <f>Portfolios!F13</f>
        <v>540</v>
      </c>
      <c r="H16" s="132"/>
      <c r="J16" s="122">
        <f>Bids!G15</f>
        <v>0</v>
      </c>
      <c r="K16" s="122">
        <f>Bids!I15</f>
        <v>0</v>
      </c>
      <c r="L16" s="122">
        <f>Bids!K15</f>
        <v>0</v>
      </c>
      <c r="M16" s="122">
        <f>Bids!M15</f>
        <v>0</v>
      </c>
      <c r="N16" s="132"/>
      <c r="O16" s="122">
        <f ca="1">Bids!H15+RAND()/100</f>
        <v>2.6325171252784296E-3</v>
      </c>
      <c r="P16" s="122">
        <f ca="1">Bids!J15+RAND()/100</f>
        <v>4.2165595359690469E-3</v>
      </c>
      <c r="Q16" s="122">
        <f ca="1">Bids!L15+RAND()/100</f>
        <v>8.72472465519975E-3</v>
      </c>
      <c r="R16" s="122">
        <f ca="1">Bids!N15+RAND()/100</f>
        <v>5.6362973589090867E-3</v>
      </c>
      <c r="S16" s="132"/>
      <c r="T16" s="125" cm="1">
        <f t="array" ref="T16">IF($F16&lt;=5,1,INDEX('System Load'!$G$4:$J$35,_xlfn.XLOOKUP('Renewable Dispatch'!T$3,'System Load'!$C$4:$C$35,'System Load'!$A$4:$A$35),_xlfn.XLOOKUP($F16,'System Load'!$G$2:$J$2,'System Load'!$G$1:$J$1)))</f>
        <v>0.44438287795640707</v>
      </c>
      <c r="U16" s="125" cm="1">
        <f t="array" ref="U16">IF($F16&lt;=5,1,INDEX('System Load'!$G$4:$J$35,_xlfn.XLOOKUP('Renewable Dispatch'!U$3,'System Load'!$C$4:$C$35,'System Load'!$A$4:$A$35),_xlfn.XLOOKUP($F16,'System Load'!$G$2:$J$2,'System Load'!$G$1:$J$1)))</f>
        <v>1</v>
      </c>
      <c r="V16" s="125" cm="1">
        <f t="array" ref="V16">IF($F16&lt;=5,1,INDEX('System Load'!$G$4:$J$35,_xlfn.XLOOKUP('Renewable Dispatch'!V$3,'System Load'!$C$4:$C$35,'System Load'!$A$4:$A$35),_xlfn.XLOOKUP($F16,'System Load'!$G$2:$J$2,'System Load'!$G$1:$J$1)))</f>
        <v>0.7911693577328841</v>
      </c>
      <c r="W16" s="125" cm="1">
        <f t="array" ref="W16">IF($F16&lt;=5,1,INDEX('System Load'!$G$4:$J$35,_xlfn.XLOOKUP('Renewable Dispatch'!W$3,'System Load'!$C$4:$C$35,'System Load'!$A$4:$A$35),_xlfn.XLOOKUP($F16,'System Load'!$G$2:$J$2,'System Load'!$G$1:$J$1)))</f>
        <v>0.23501107097533397</v>
      </c>
      <c r="X16" s="132"/>
      <c r="Y16" s="140"/>
      <c r="Z16" s="140"/>
      <c r="AA16" s="140"/>
      <c r="AB16" s="140"/>
      <c r="AC16" s="132"/>
    </row>
    <row r="17" spans="1:29" x14ac:dyDescent="0.25">
      <c r="A17" s="150" t="s">
        <v>15</v>
      </c>
      <c r="B17" s="18">
        <v>3</v>
      </c>
      <c r="C17" s="43">
        <v>31</v>
      </c>
      <c r="D17" s="43" t="s">
        <v>20</v>
      </c>
      <c r="E17" s="43" t="str">
        <f>Portfolios!E14</f>
        <v>Natural Gas</v>
      </c>
      <c r="F17" s="43">
        <f>_xlfn.XLOOKUP(E17,'System Load'!$P$7:$P$15,'System Load'!$Q$7:$Q$15)</f>
        <v>4</v>
      </c>
      <c r="G17" s="43">
        <f>Portfolios!F14</f>
        <v>400</v>
      </c>
      <c r="H17" s="132"/>
      <c r="J17" s="122">
        <f>Bids!G16</f>
        <v>0</v>
      </c>
      <c r="K17" s="122">
        <f>Bids!I16</f>
        <v>0</v>
      </c>
      <c r="L17" s="122">
        <f>Bids!K16</f>
        <v>0</v>
      </c>
      <c r="M17" s="122">
        <f>Bids!M16</f>
        <v>0</v>
      </c>
      <c r="N17" s="132"/>
      <c r="O17" s="122">
        <f ca="1">Bids!H16+RAND()/100</f>
        <v>1.6160226431672919E-3</v>
      </c>
      <c r="P17" s="122">
        <f ca="1">Bids!J16+RAND()/100</f>
        <v>2.5673168019407187E-3</v>
      </c>
      <c r="Q17" s="122">
        <f ca="1">Bids!L16+RAND()/100</f>
        <v>1.1366599753669703E-3</v>
      </c>
      <c r="R17" s="122">
        <f ca="1">Bids!N16+RAND()/100</f>
        <v>7.1888370912956898E-3</v>
      </c>
      <c r="S17" s="132"/>
      <c r="T17" s="125" cm="1">
        <f t="array" ref="T17">IF($F17&lt;=5,1,INDEX('System Load'!$G$4:$J$35,_xlfn.XLOOKUP('Renewable Dispatch'!T$3,'System Load'!$C$4:$C$35,'System Load'!$A$4:$A$35),_xlfn.XLOOKUP($F17,'System Load'!$G$2:$J$2,'System Load'!$G$1:$J$1)))</f>
        <v>1</v>
      </c>
      <c r="U17" s="125" cm="1">
        <f t="array" ref="U17">IF($F17&lt;=5,1,INDEX('System Load'!$G$4:$J$35,_xlfn.XLOOKUP('Renewable Dispatch'!U$3,'System Load'!$C$4:$C$35,'System Load'!$A$4:$A$35),_xlfn.XLOOKUP($F17,'System Load'!$G$2:$J$2,'System Load'!$G$1:$J$1)))</f>
        <v>1</v>
      </c>
      <c r="V17" s="125" cm="1">
        <f t="array" ref="V17">IF($F17&lt;=5,1,INDEX('System Load'!$G$4:$J$35,_xlfn.XLOOKUP('Renewable Dispatch'!V$3,'System Load'!$C$4:$C$35,'System Load'!$A$4:$A$35),_xlfn.XLOOKUP($F17,'System Load'!$G$2:$J$2,'System Load'!$G$1:$J$1)))</f>
        <v>1</v>
      </c>
      <c r="W17" s="125" cm="1">
        <f t="array" ref="W17">IF($F17&lt;=5,1,INDEX('System Load'!$G$4:$J$35,_xlfn.XLOOKUP('Renewable Dispatch'!W$3,'System Load'!$C$4:$C$35,'System Load'!$A$4:$A$35),_xlfn.XLOOKUP($F17,'System Load'!$G$2:$J$2,'System Load'!$G$1:$J$1)))</f>
        <v>1</v>
      </c>
      <c r="X17" s="132"/>
      <c r="Y17" s="140"/>
      <c r="Z17" s="140"/>
      <c r="AA17" s="140"/>
      <c r="AB17" s="140"/>
      <c r="AC17" s="132"/>
    </row>
    <row r="18" spans="1:29" x14ac:dyDescent="0.25">
      <c r="A18" s="150"/>
      <c r="B18" s="18">
        <v>3</v>
      </c>
      <c r="C18" s="44">
        <v>32</v>
      </c>
      <c r="D18" s="44" t="s">
        <v>20</v>
      </c>
      <c r="E18" s="44" t="str">
        <f>Portfolios!E15</f>
        <v>Solar</v>
      </c>
      <c r="F18" s="44">
        <f>_xlfn.XLOOKUP(E18,'System Load'!$P$7:$P$15,'System Load'!$Q$7:$Q$15)</f>
        <v>8</v>
      </c>
      <c r="G18" s="44">
        <f>Portfolios!F15</f>
        <v>600</v>
      </c>
      <c r="H18" s="132"/>
      <c r="J18" s="122">
        <f>Bids!G17</f>
        <v>0</v>
      </c>
      <c r="K18" s="122">
        <f>Bids!I17</f>
        <v>0</v>
      </c>
      <c r="L18" s="122">
        <f>Bids!K17</f>
        <v>0</v>
      </c>
      <c r="M18" s="122">
        <f>Bids!M17</f>
        <v>0</v>
      </c>
      <c r="N18" s="132"/>
      <c r="O18" s="122">
        <f ca="1">Bids!H17+RAND()/100</f>
        <v>9.0859817612482085E-3</v>
      </c>
      <c r="P18" s="122">
        <f ca="1">Bids!J17+RAND()/100</f>
        <v>3.3451307272418761E-3</v>
      </c>
      <c r="Q18" s="122">
        <f ca="1">Bids!L17+RAND()/100</f>
        <v>3.612612073959005E-3</v>
      </c>
      <c r="R18" s="122">
        <f ca="1">Bids!N17+RAND()/100</f>
        <v>7.4622153638101022E-3</v>
      </c>
      <c r="S18" s="132"/>
      <c r="T18" s="125" cm="1">
        <f t="array" ref="T18">IF($F18&lt;=5,1,INDEX('System Load'!$G$4:$J$35,_xlfn.XLOOKUP('Renewable Dispatch'!T$3,'System Load'!$C$4:$C$35,'System Load'!$A$4:$A$35),_xlfn.XLOOKUP($F18,'System Load'!$G$2:$J$2,'System Load'!$G$1:$J$1)))</f>
        <v>0.44438287795640707</v>
      </c>
      <c r="U18" s="125" cm="1">
        <f t="array" ref="U18">IF($F18&lt;=5,1,INDEX('System Load'!$G$4:$J$35,_xlfn.XLOOKUP('Renewable Dispatch'!U$3,'System Load'!$C$4:$C$35,'System Load'!$A$4:$A$35),_xlfn.XLOOKUP($F18,'System Load'!$G$2:$J$2,'System Load'!$G$1:$J$1)))</f>
        <v>1</v>
      </c>
      <c r="V18" s="125" cm="1">
        <f t="array" ref="V18">IF($F18&lt;=5,1,INDEX('System Load'!$G$4:$J$35,_xlfn.XLOOKUP('Renewable Dispatch'!V$3,'System Load'!$C$4:$C$35,'System Load'!$A$4:$A$35),_xlfn.XLOOKUP($F18,'System Load'!$G$2:$J$2,'System Load'!$G$1:$J$1)))</f>
        <v>0.7911693577328841</v>
      </c>
      <c r="W18" s="125" cm="1">
        <f t="array" ref="W18">IF($F18&lt;=5,1,INDEX('System Load'!$G$4:$J$35,_xlfn.XLOOKUP('Renewable Dispatch'!W$3,'System Load'!$C$4:$C$35,'System Load'!$A$4:$A$35),_xlfn.XLOOKUP($F18,'System Load'!$G$2:$J$2,'System Load'!$G$1:$J$1)))</f>
        <v>0.23501107097533397</v>
      </c>
      <c r="X18" s="132"/>
      <c r="Y18" s="140"/>
      <c r="Z18" s="140"/>
      <c r="AA18" s="140"/>
      <c r="AB18" s="140"/>
      <c r="AC18" s="132"/>
    </row>
    <row r="19" spans="1:29" x14ac:dyDescent="0.25">
      <c r="A19" s="150"/>
      <c r="B19" s="18">
        <v>3</v>
      </c>
      <c r="C19" s="44">
        <v>33</v>
      </c>
      <c r="D19" s="44" t="s">
        <v>20</v>
      </c>
      <c r="E19" s="44" t="str">
        <f>Portfolios!E16</f>
        <v>Solar</v>
      </c>
      <c r="F19" s="44">
        <f>_xlfn.XLOOKUP(E19,'System Load'!$P$7:$P$15,'System Load'!$Q$7:$Q$15)</f>
        <v>8</v>
      </c>
      <c r="G19" s="44">
        <f>Portfolios!F16</f>
        <v>600</v>
      </c>
      <c r="H19" s="132"/>
      <c r="J19" s="122">
        <f>Bids!G18</f>
        <v>0</v>
      </c>
      <c r="K19" s="122">
        <f>Bids!I18</f>
        <v>0</v>
      </c>
      <c r="L19" s="122">
        <f>Bids!K18</f>
        <v>0</v>
      </c>
      <c r="M19" s="122">
        <f>Bids!M18</f>
        <v>0</v>
      </c>
      <c r="N19" s="132"/>
      <c r="O19" s="122">
        <f ca="1">Bids!H18+RAND()/100</f>
        <v>1.2799897282209983E-4</v>
      </c>
      <c r="P19" s="122">
        <f ca="1">Bids!J18+RAND()/100</f>
        <v>8.1212533226174798E-3</v>
      </c>
      <c r="Q19" s="122">
        <f ca="1">Bids!L18+RAND()/100</f>
        <v>3.2959648716908484E-4</v>
      </c>
      <c r="R19" s="122">
        <f ca="1">Bids!N18+RAND()/100</f>
        <v>9.9541728299953128E-3</v>
      </c>
      <c r="S19" s="132"/>
      <c r="T19" s="125" cm="1">
        <f t="array" ref="T19">IF($F19&lt;=5,1,INDEX('System Load'!$G$4:$J$35,_xlfn.XLOOKUP('Renewable Dispatch'!T$3,'System Load'!$C$4:$C$35,'System Load'!$A$4:$A$35),_xlfn.XLOOKUP($F19,'System Load'!$G$2:$J$2,'System Load'!$G$1:$J$1)))</f>
        <v>0.44438287795640707</v>
      </c>
      <c r="U19" s="125" cm="1">
        <f t="array" ref="U19">IF($F19&lt;=5,1,INDEX('System Load'!$G$4:$J$35,_xlfn.XLOOKUP('Renewable Dispatch'!U$3,'System Load'!$C$4:$C$35,'System Load'!$A$4:$A$35),_xlfn.XLOOKUP($F19,'System Load'!$G$2:$J$2,'System Load'!$G$1:$J$1)))</f>
        <v>1</v>
      </c>
      <c r="V19" s="125" cm="1">
        <f t="array" ref="V19">IF($F19&lt;=5,1,INDEX('System Load'!$G$4:$J$35,_xlfn.XLOOKUP('Renewable Dispatch'!V$3,'System Load'!$C$4:$C$35,'System Load'!$A$4:$A$35),_xlfn.XLOOKUP($F19,'System Load'!$G$2:$J$2,'System Load'!$G$1:$J$1)))</f>
        <v>0.7911693577328841</v>
      </c>
      <c r="W19" s="125" cm="1">
        <f t="array" ref="W19">IF($F19&lt;=5,1,INDEX('System Load'!$G$4:$J$35,_xlfn.XLOOKUP('Renewable Dispatch'!W$3,'System Load'!$C$4:$C$35,'System Load'!$A$4:$A$35),_xlfn.XLOOKUP($F19,'System Load'!$G$2:$J$2,'System Load'!$G$1:$J$1)))</f>
        <v>0.23501107097533397</v>
      </c>
      <c r="X19" s="132"/>
      <c r="Y19" s="140"/>
      <c r="Z19" s="140"/>
      <c r="AA19" s="140"/>
      <c r="AB19" s="140"/>
      <c r="AC19" s="132"/>
    </row>
    <row r="20" spans="1:29" x14ac:dyDescent="0.25">
      <c r="A20" s="150"/>
      <c r="B20" s="18">
        <v>3</v>
      </c>
      <c r="C20" s="44">
        <v>34</v>
      </c>
      <c r="D20" s="44" t="s">
        <v>20</v>
      </c>
      <c r="E20" s="44" t="str">
        <f>Portfolios!E17</f>
        <v>Solar</v>
      </c>
      <c r="F20" s="44">
        <f>_xlfn.XLOOKUP(E20,'System Load'!$P$7:$P$15,'System Load'!$Q$7:$Q$15)</f>
        <v>8</v>
      </c>
      <c r="G20" s="44">
        <f>Portfolios!F17</f>
        <v>475</v>
      </c>
      <c r="H20" s="132"/>
      <c r="J20" s="122">
        <f>Bids!G19</f>
        <v>0</v>
      </c>
      <c r="K20" s="122">
        <f>Bids!I19</f>
        <v>0</v>
      </c>
      <c r="L20" s="122">
        <f>Bids!K19</f>
        <v>0</v>
      </c>
      <c r="M20" s="122">
        <f>Bids!M19</f>
        <v>0</v>
      </c>
      <c r="N20" s="132"/>
      <c r="O20" s="122">
        <f ca="1">Bids!H19+RAND()/100</f>
        <v>6.6081566980492621E-3</v>
      </c>
      <c r="P20" s="122">
        <f ca="1">Bids!J19+RAND()/100</f>
        <v>4.2557414060272677E-3</v>
      </c>
      <c r="Q20" s="122">
        <f ca="1">Bids!L19+RAND()/100</f>
        <v>1.4077622160337223E-3</v>
      </c>
      <c r="R20" s="122">
        <f ca="1">Bids!N19+RAND()/100</f>
        <v>3.4579624416254619E-4</v>
      </c>
      <c r="S20" s="132"/>
      <c r="T20" s="125" cm="1">
        <f t="array" ref="T20">IF($F20&lt;=5,1,INDEX('System Load'!$G$4:$J$35,_xlfn.XLOOKUP('Renewable Dispatch'!T$3,'System Load'!$C$4:$C$35,'System Load'!$A$4:$A$35),_xlfn.XLOOKUP($F20,'System Load'!$G$2:$J$2,'System Load'!$G$1:$J$1)))</f>
        <v>0.44438287795640707</v>
      </c>
      <c r="U20" s="125" cm="1">
        <f t="array" ref="U20">IF($F20&lt;=5,1,INDEX('System Load'!$G$4:$J$35,_xlfn.XLOOKUP('Renewable Dispatch'!U$3,'System Load'!$C$4:$C$35,'System Load'!$A$4:$A$35),_xlfn.XLOOKUP($F20,'System Load'!$G$2:$J$2,'System Load'!$G$1:$J$1)))</f>
        <v>1</v>
      </c>
      <c r="V20" s="125" cm="1">
        <f t="array" ref="V20">IF($F20&lt;=5,1,INDEX('System Load'!$G$4:$J$35,_xlfn.XLOOKUP('Renewable Dispatch'!V$3,'System Load'!$C$4:$C$35,'System Load'!$A$4:$A$35),_xlfn.XLOOKUP($F20,'System Load'!$G$2:$J$2,'System Load'!$G$1:$J$1)))</f>
        <v>0.7911693577328841</v>
      </c>
      <c r="W20" s="125" cm="1">
        <f t="array" ref="W20">IF($F20&lt;=5,1,INDEX('System Load'!$G$4:$J$35,_xlfn.XLOOKUP('Renewable Dispatch'!W$3,'System Load'!$C$4:$C$35,'System Load'!$A$4:$A$35),_xlfn.XLOOKUP($F20,'System Load'!$G$2:$J$2,'System Load'!$G$1:$J$1)))</f>
        <v>0.23501107097533397</v>
      </c>
      <c r="X20" s="132"/>
      <c r="Y20" s="140"/>
      <c r="Z20" s="140"/>
      <c r="AA20" s="140"/>
      <c r="AB20" s="140"/>
      <c r="AC20" s="132"/>
    </row>
    <row r="21" spans="1:29" x14ac:dyDescent="0.25">
      <c r="A21" s="150"/>
      <c r="B21" s="18">
        <v>3</v>
      </c>
      <c r="C21" s="44">
        <v>35</v>
      </c>
      <c r="D21" s="44" t="s">
        <v>20</v>
      </c>
      <c r="E21" s="44" t="str">
        <f>Portfolios!E18</f>
        <v>Solar</v>
      </c>
      <c r="F21" s="44">
        <f>_xlfn.XLOOKUP(E21,'System Load'!$P$7:$P$15,'System Load'!$Q$7:$Q$15)</f>
        <v>8</v>
      </c>
      <c r="G21" s="44">
        <f>Portfolios!F18</f>
        <v>350</v>
      </c>
      <c r="H21" s="132"/>
      <c r="J21" s="122">
        <f>Bids!G20</f>
        <v>0</v>
      </c>
      <c r="K21" s="122">
        <f>Bids!I20</f>
        <v>0</v>
      </c>
      <c r="L21" s="122">
        <f>Bids!K20</f>
        <v>0</v>
      </c>
      <c r="M21" s="122">
        <f>Bids!M20</f>
        <v>0</v>
      </c>
      <c r="N21" s="132"/>
      <c r="O21" s="122">
        <f ca="1">Bids!H20+RAND()/100</f>
        <v>7.2824299138291989E-3</v>
      </c>
      <c r="P21" s="122">
        <f ca="1">Bids!J20+RAND()/100</f>
        <v>7.0115682862634705E-3</v>
      </c>
      <c r="Q21" s="122">
        <f ca="1">Bids!L20+RAND()/100</f>
        <v>8.5586346033943422E-3</v>
      </c>
      <c r="R21" s="122">
        <f ca="1">Bids!N20+RAND()/100</f>
        <v>9.8252098518098793E-3</v>
      </c>
      <c r="S21" s="132"/>
      <c r="T21" s="125" cm="1">
        <f t="array" ref="T21">IF($F21&lt;=5,1,INDEX('System Load'!$G$4:$J$35,_xlfn.XLOOKUP('Renewable Dispatch'!T$3,'System Load'!$C$4:$C$35,'System Load'!$A$4:$A$35),_xlfn.XLOOKUP($F21,'System Load'!$G$2:$J$2,'System Load'!$G$1:$J$1)))</f>
        <v>0.44438287795640707</v>
      </c>
      <c r="U21" s="125" cm="1">
        <f t="array" ref="U21">IF($F21&lt;=5,1,INDEX('System Load'!$G$4:$J$35,_xlfn.XLOOKUP('Renewable Dispatch'!U$3,'System Load'!$C$4:$C$35,'System Load'!$A$4:$A$35),_xlfn.XLOOKUP($F21,'System Load'!$G$2:$J$2,'System Load'!$G$1:$J$1)))</f>
        <v>1</v>
      </c>
      <c r="V21" s="125" cm="1">
        <f t="array" ref="V21">IF($F21&lt;=5,1,INDEX('System Load'!$G$4:$J$35,_xlfn.XLOOKUP('Renewable Dispatch'!V$3,'System Load'!$C$4:$C$35,'System Load'!$A$4:$A$35),_xlfn.XLOOKUP($F21,'System Load'!$G$2:$J$2,'System Load'!$G$1:$J$1)))</f>
        <v>0.7911693577328841</v>
      </c>
      <c r="W21" s="125" cm="1">
        <f t="array" ref="W21">IF($F21&lt;=5,1,INDEX('System Load'!$G$4:$J$35,_xlfn.XLOOKUP('Renewable Dispatch'!W$3,'System Load'!$C$4:$C$35,'System Load'!$A$4:$A$35),_xlfn.XLOOKUP($F21,'System Load'!$G$2:$J$2,'System Load'!$G$1:$J$1)))</f>
        <v>0.23501107097533397</v>
      </c>
      <c r="X21" s="132"/>
      <c r="Y21" s="140"/>
      <c r="Z21" s="140"/>
      <c r="AA21" s="140"/>
      <c r="AB21" s="140"/>
      <c r="AC21" s="132"/>
    </row>
    <row r="22" spans="1:29" x14ac:dyDescent="0.25">
      <c r="A22" s="150"/>
      <c r="B22" s="18">
        <v>3</v>
      </c>
      <c r="C22" s="44">
        <v>36</v>
      </c>
      <c r="D22" s="44" t="s">
        <v>20</v>
      </c>
      <c r="E22" s="44" t="str">
        <f>Portfolios!E19</f>
        <v>Onshore Wind</v>
      </c>
      <c r="F22" s="44">
        <f>_xlfn.XLOOKUP(E22,'System Load'!$P$7:$P$15,'System Load'!$Q$7:$Q$15)</f>
        <v>7</v>
      </c>
      <c r="G22" s="44">
        <f>Portfolios!F19</f>
        <v>375</v>
      </c>
      <c r="H22" s="132"/>
      <c r="J22" s="122">
        <f>Bids!G21</f>
        <v>0</v>
      </c>
      <c r="K22" s="122">
        <f>Bids!I21</f>
        <v>0</v>
      </c>
      <c r="L22" s="122">
        <f>Bids!K21</f>
        <v>0</v>
      </c>
      <c r="M22" s="122">
        <f>Bids!M21</f>
        <v>0</v>
      </c>
      <c r="N22" s="132"/>
      <c r="O22" s="122">
        <f ca="1">Bids!H21+RAND()/100</f>
        <v>8.1872165468322763E-3</v>
      </c>
      <c r="P22" s="122">
        <f ca="1">Bids!J21+RAND()/100</f>
        <v>8.2834050981701948E-3</v>
      </c>
      <c r="Q22" s="122">
        <f ca="1">Bids!L21+RAND()/100</f>
        <v>3.843021376923821E-3</v>
      </c>
      <c r="R22" s="122">
        <f ca="1">Bids!N21+RAND()/100</f>
        <v>2.6664544336675312E-4</v>
      </c>
      <c r="S22" s="132"/>
      <c r="T22" s="125" cm="1">
        <f t="array" ref="T22">IF($F22&lt;=5,1,INDEX('System Load'!$G$4:$J$35,_xlfn.XLOOKUP('Renewable Dispatch'!T$3,'System Load'!$C$4:$C$35,'System Load'!$A$4:$A$35),_xlfn.XLOOKUP($F22,'System Load'!$G$2:$J$2,'System Load'!$G$1:$J$1)))</f>
        <v>5.5797367722411444E-2</v>
      </c>
      <c r="U22" s="125" cm="1">
        <f t="array" ref="U22">IF($F22&lt;=5,1,INDEX('System Load'!$G$4:$J$35,_xlfn.XLOOKUP('Renewable Dispatch'!U$3,'System Load'!$C$4:$C$35,'System Load'!$A$4:$A$35),_xlfn.XLOOKUP($F22,'System Load'!$G$2:$J$2,'System Load'!$G$1:$J$1)))</f>
        <v>0.7086320544697684</v>
      </c>
      <c r="V22" s="125" cm="1">
        <f t="array" ref="V22">IF($F22&lt;=5,1,INDEX('System Load'!$G$4:$J$35,_xlfn.XLOOKUP('Renewable Dispatch'!V$3,'System Load'!$C$4:$C$35,'System Load'!$A$4:$A$35),_xlfn.XLOOKUP($F22,'System Load'!$G$2:$J$2,'System Load'!$G$1:$J$1)))</f>
        <v>0.44947750155632576</v>
      </c>
      <c r="W22" s="125" cm="1">
        <f t="array" ref="W22">IF($F22&lt;=5,1,INDEX('System Load'!$G$4:$J$35,_xlfn.XLOOKUP('Renewable Dispatch'!W$3,'System Load'!$C$4:$C$35,'System Load'!$A$4:$A$35),_xlfn.XLOOKUP($F22,'System Load'!$G$2:$J$2,'System Load'!$G$1:$J$1)))</f>
        <v>0.11977743004956157</v>
      </c>
      <c r="X22" s="132"/>
      <c r="Y22" s="140"/>
      <c r="Z22" s="140"/>
      <c r="AA22" s="140"/>
      <c r="AB22" s="140"/>
      <c r="AC22" s="132"/>
    </row>
    <row r="23" spans="1:29" x14ac:dyDescent="0.25">
      <c r="A23" s="150"/>
      <c r="B23" s="18">
        <v>3</v>
      </c>
      <c r="C23" s="44">
        <v>37</v>
      </c>
      <c r="D23" s="44" t="s">
        <v>20</v>
      </c>
      <c r="E23" s="44" t="str">
        <f>Portfolios!E20</f>
        <v>Onshore Wind</v>
      </c>
      <c r="F23" s="44">
        <f>_xlfn.XLOOKUP(E23,'System Load'!$P$7:$P$15,'System Load'!$Q$7:$Q$15)</f>
        <v>7</v>
      </c>
      <c r="G23" s="44">
        <f>Portfolios!F20</f>
        <v>375</v>
      </c>
      <c r="H23" s="132"/>
      <c r="J23" s="122">
        <f>Bids!G22</f>
        <v>0</v>
      </c>
      <c r="K23" s="122">
        <f>Bids!I22</f>
        <v>0</v>
      </c>
      <c r="L23" s="122">
        <f>Bids!K22</f>
        <v>0</v>
      </c>
      <c r="M23" s="122">
        <f>Bids!M22</f>
        <v>0</v>
      </c>
      <c r="N23" s="132"/>
      <c r="O23" s="122">
        <f ca="1">Bids!H22+RAND()/100</f>
        <v>8.0914403120353837E-3</v>
      </c>
      <c r="P23" s="122">
        <f ca="1">Bids!J22+RAND()/100</f>
        <v>1.2123670924910478E-3</v>
      </c>
      <c r="Q23" s="122">
        <f ca="1">Bids!L22+RAND()/100</f>
        <v>9.1705439537221843E-3</v>
      </c>
      <c r="R23" s="122">
        <f ca="1">Bids!N22+RAND()/100</f>
        <v>2.8103894043914413E-3</v>
      </c>
      <c r="S23" s="132"/>
      <c r="T23" s="125" cm="1">
        <f t="array" ref="T23">IF($F23&lt;=5,1,INDEX('System Load'!$G$4:$J$35,_xlfn.XLOOKUP('Renewable Dispatch'!T$3,'System Load'!$C$4:$C$35,'System Load'!$A$4:$A$35),_xlfn.XLOOKUP($F23,'System Load'!$G$2:$J$2,'System Load'!$G$1:$J$1)))</f>
        <v>5.5797367722411444E-2</v>
      </c>
      <c r="U23" s="125" cm="1">
        <f t="array" ref="U23">IF($F23&lt;=5,1,INDEX('System Load'!$G$4:$J$35,_xlfn.XLOOKUP('Renewable Dispatch'!U$3,'System Load'!$C$4:$C$35,'System Load'!$A$4:$A$35),_xlfn.XLOOKUP($F23,'System Load'!$G$2:$J$2,'System Load'!$G$1:$J$1)))</f>
        <v>0.7086320544697684</v>
      </c>
      <c r="V23" s="125" cm="1">
        <f t="array" ref="V23">IF($F23&lt;=5,1,INDEX('System Load'!$G$4:$J$35,_xlfn.XLOOKUP('Renewable Dispatch'!V$3,'System Load'!$C$4:$C$35,'System Load'!$A$4:$A$35),_xlfn.XLOOKUP($F23,'System Load'!$G$2:$J$2,'System Load'!$G$1:$J$1)))</f>
        <v>0.44947750155632576</v>
      </c>
      <c r="W23" s="125" cm="1">
        <f t="array" ref="W23">IF($F23&lt;=5,1,INDEX('System Load'!$G$4:$J$35,_xlfn.XLOOKUP('Renewable Dispatch'!W$3,'System Load'!$C$4:$C$35,'System Load'!$A$4:$A$35),_xlfn.XLOOKUP($F23,'System Load'!$G$2:$J$2,'System Load'!$G$1:$J$1)))</f>
        <v>0.11977743004956157</v>
      </c>
      <c r="X23" s="132"/>
      <c r="Y23" s="140"/>
      <c r="Z23" s="140"/>
      <c r="AA23" s="140"/>
      <c r="AB23" s="140"/>
      <c r="AC23" s="132"/>
    </row>
    <row r="24" spans="1:29" x14ac:dyDescent="0.25">
      <c r="A24" s="150"/>
      <c r="B24" s="20">
        <v>3</v>
      </c>
      <c r="C24" s="45">
        <v>38</v>
      </c>
      <c r="D24" s="45" t="s">
        <v>20</v>
      </c>
      <c r="E24" s="45" t="str">
        <f>Portfolios!E21</f>
        <v>Onshore Wind</v>
      </c>
      <c r="F24" s="45">
        <f>_xlfn.XLOOKUP(E24,'System Load'!$P$7:$P$15,'System Load'!$Q$7:$Q$15)</f>
        <v>7</v>
      </c>
      <c r="G24" s="45">
        <f>Portfolios!F21</f>
        <v>375</v>
      </c>
      <c r="H24" s="132"/>
      <c r="J24" s="122">
        <f>Bids!G23</f>
        <v>0</v>
      </c>
      <c r="K24" s="122">
        <f>Bids!I23</f>
        <v>0</v>
      </c>
      <c r="L24" s="122">
        <f>Bids!K23</f>
        <v>0</v>
      </c>
      <c r="M24" s="122">
        <f>Bids!M23</f>
        <v>0</v>
      </c>
      <c r="N24" s="132"/>
      <c r="O24" s="122">
        <f ca="1">Bids!H23+RAND()/100</f>
        <v>8.38650116145577E-3</v>
      </c>
      <c r="P24" s="122">
        <f ca="1">Bids!J23+RAND()/100</f>
        <v>8.9788523791833781E-3</v>
      </c>
      <c r="Q24" s="122">
        <f ca="1">Bids!L23+RAND()/100</f>
        <v>9.4284664695017586E-3</v>
      </c>
      <c r="R24" s="122">
        <f ca="1">Bids!N23+RAND()/100</f>
        <v>5.3937891566292031E-3</v>
      </c>
      <c r="S24" s="132"/>
      <c r="T24" s="125" cm="1">
        <f t="array" ref="T24">IF($F24&lt;=5,1,INDEX('System Load'!$G$4:$J$35,_xlfn.XLOOKUP('Renewable Dispatch'!T$3,'System Load'!$C$4:$C$35,'System Load'!$A$4:$A$35),_xlfn.XLOOKUP($F24,'System Load'!$G$2:$J$2,'System Load'!$G$1:$J$1)))</f>
        <v>5.5797367722411444E-2</v>
      </c>
      <c r="U24" s="125" cm="1">
        <f t="array" ref="U24">IF($F24&lt;=5,1,INDEX('System Load'!$G$4:$J$35,_xlfn.XLOOKUP('Renewable Dispatch'!U$3,'System Load'!$C$4:$C$35,'System Load'!$A$4:$A$35),_xlfn.XLOOKUP($F24,'System Load'!$G$2:$J$2,'System Load'!$G$1:$J$1)))</f>
        <v>0.7086320544697684</v>
      </c>
      <c r="V24" s="125" cm="1">
        <f t="array" ref="V24">IF($F24&lt;=5,1,INDEX('System Load'!$G$4:$J$35,_xlfn.XLOOKUP('Renewable Dispatch'!V$3,'System Load'!$C$4:$C$35,'System Load'!$A$4:$A$35),_xlfn.XLOOKUP($F24,'System Load'!$G$2:$J$2,'System Load'!$G$1:$J$1)))</f>
        <v>0.44947750155632576</v>
      </c>
      <c r="W24" s="125" cm="1">
        <f t="array" ref="W24">IF($F24&lt;=5,1,INDEX('System Load'!$G$4:$J$35,_xlfn.XLOOKUP('Renewable Dispatch'!W$3,'System Load'!$C$4:$C$35,'System Load'!$A$4:$A$35),_xlfn.XLOOKUP($F24,'System Load'!$G$2:$J$2,'System Load'!$G$1:$J$1)))</f>
        <v>0.11977743004956157</v>
      </c>
      <c r="X24" s="132"/>
      <c r="Y24" s="140"/>
      <c r="Z24" s="140"/>
      <c r="AA24" s="140"/>
      <c r="AB24" s="140"/>
      <c r="AC24" s="132"/>
    </row>
    <row r="25" spans="1:29" x14ac:dyDescent="0.25">
      <c r="A25" s="151" t="s">
        <v>16</v>
      </c>
      <c r="B25" s="22">
        <v>4</v>
      </c>
      <c r="C25" s="46">
        <v>41</v>
      </c>
      <c r="D25" s="46" t="s">
        <v>20</v>
      </c>
      <c r="E25" s="46" t="str">
        <f>Portfolios!E22</f>
        <v>Offshore Wind</v>
      </c>
      <c r="F25" s="46">
        <f>_xlfn.XLOOKUP(E25,'System Load'!$P$7:$P$15,'System Load'!$Q$7:$Q$15)</f>
        <v>6</v>
      </c>
      <c r="G25" s="46">
        <f>Portfolios!F22</f>
        <v>820</v>
      </c>
      <c r="H25" s="132"/>
      <c r="J25" s="122">
        <f>Bids!G24</f>
        <v>0</v>
      </c>
      <c r="K25" s="122">
        <f>Bids!I24</f>
        <v>0</v>
      </c>
      <c r="L25" s="122">
        <f>Bids!K24</f>
        <v>0</v>
      </c>
      <c r="M25" s="122">
        <f>Bids!M24</f>
        <v>0</v>
      </c>
      <c r="N25" s="132"/>
      <c r="O25" s="122">
        <f ca="1">Bids!H24+RAND()/100</f>
        <v>4.8387741779309127E-3</v>
      </c>
      <c r="P25" s="122">
        <f ca="1">Bids!J24+RAND()/100</f>
        <v>5.9272364450099453E-3</v>
      </c>
      <c r="Q25" s="122">
        <f ca="1">Bids!L24+RAND()/100</f>
        <v>7.3784504643838152E-3</v>
      </c>
      <c r="R25" s="122">
        <f ca="1">Bids!N24+RAND()/100</f>
        <v>6.8504975883913423E-3</v>
      </c>
      <c r="S25" s="132"/>
      <c r="T25" s="125" cm="1">
        <f t="array" ref="T25">IF($F25&lt;=5,1,INDEX('System Load'!$G$4:$J$35,_xlfn.XLOOKUP('Renewable Dispatch'!T$3,'System Load'!$C$4:$C$35,'System Load'!$A$4:$A$35),_xlfn.XLOOKUP($F25,'System Load'!$G$2:$J$2,'System Load'!$G$1:$J$1)))</f>
        <v>0.54509912086794587</v>
      </c>
      <c r="U25" s="125" cm="1">
        <f t="array" ref="U25">IF($F25&lt;=5,1,INDEX('System Load'!$G$4:$J$35,_xlfn.XLOOKUP('Renewable Dispatch'!U$3,'System Load'!$C$4:$C$35,'System Load'!$A$4:$A$35),_xlfn.XLOOKUP($F25,'System Load'!$G$2:$J$2,'System Load'!$G$1:$J$1)))</f>
        <v>1</v>
      </c>
      <c r="V25" s="125" cm="1">
        <f t="array" ref="V25">IF($F25&lt;=5,1,INDEX('System Load'!$G$4:$J$35,_xlfn.XLOOKUP('Renewable Dispatch'!V$3,'System Load'!$C$4:$C$35,'System Load'!$A$4:$A$35),_xlfn.XLOOKUP($F25,'System Load'!$G$2:$J$2,'System Load'!$G$1:$J$1)))</f>
        <v>0.59113402346411026</v>
      </c>
      <c r="W25" s="125" cm="1">
        <f t="array" ref="W25">IF($F25&lt;=5,1,INDEX('System Load'!$G$4:$J$35,_xlfn.XLOOKUP('Renewable Dispatch'!W$3,'System Load'!$C$4:$C$35,'System Load'!$A$4:$A$35),_xlfn.XLOOKUP($F25,'System Load'!$G$2:$J$2,'System Load'!$G$1:$J$1)))</f>
        <v>0.21486810513457685</v>
      </c>
      <c r="X25" s="132"/>
      <c r="Y25" s="140"/>
      <c r="Z25" s="140"/>
      <c r="AA25" s="140"/>
      <c r="AB25" s="140"/>
      <c r="AC25" s="132"/>
    </row>
    <row r="26" spans="1:29" x14ac:dyDescent="0.25">
      <c r="A26" s="151"/>
      <c r="B26" s="22">
        <v>4</v>
      </c>
      <c r="C26" s="47">
        <v>42</v>
      </c>
      <c r="D26" s="47" t="s">
        <v>20</v>
      </c>
      <c r="E26" s="47" t="str">
        <f>Portfolios!E23</f>
        <v>Offshore Wind</v>
      </c>
      <c r="F26" s="47">
        <f>_xlfn.XLOOKUP(E26,'System Load'!$P$7:$P$15,'System Load'!$Q$7:$Q$15)</f>
        <v>6</v>
      </c>
      <c r="G26" s="47">
        <f>Portfolios!F23</f>
        <v>780</v>
      </c>
      <c r="H26" s="132"/>
      <c r="J26" s="122">
        <f>Bids!G25</f>
        <v>0</v>
      </c>
      <c r="K26" s="122">
        <f>Bids!I25</f>
        <v>0</v>
      </c>
      <c r="L26" s="122">
        <f>Bids!K25</f>
        <v>0</v>
      </c>
      <c r="M26" s="122">
        <f>Bids!M25</f>
        <v>0</v>
      </c>
      <c r="N26" s="132"/>
      <c r="O26" s="122">
        <f ca="1">Bids!H25+RAND()/100</f>
        <v>3.1092222064706054E-3</v>
      </c>
      <c r="P26" s="122">
        <f ca="1">Bids!J25+RAND()/100</f>
        <v>2.5007271233440788E-3</v>
      </c>
      <c r="Q26" s="122">
        <f ca="1">Bids!L25+RAND()/100</f>
        <v>5.2312028111317719E-3</v>
      </c>
      <c r="R26" s="122">
        <f ca="1">Bids!N25+RAND()/100</f>
        <v>9.5112067669684205E-3</v>
      </c>
      <c r="S26" s="132"/>
      <c r="T26" s="125" cm="1">
        <f t="array" ref="T26">IF($F26&lt;=5,1,INDEX('System Load'!$G$4:$J$35,_xlfn.XLOOKUP('Renewable Dispatch'!T$3,'System Load'!$C$4:$C$35,'System Load'!$A$4:$A$35),_xlfn.XLOOKUP($F26,'System Load'!$G$2:$J$2,'System Load'!$G$1:$J$1)))</f>
        <v>0.54509912086794587</v>
      </c>
      <c r="U26" s="125" cm="1">
        <f t="array" ref="U26">IF($F26&lt;=5,1,INDEX('System Load'!$G$4:$J$35,_xlfn.XLOOKUP('Renewable Dispatch'!U$3,'System Load'!$C$4:$C$35,'System Load'!$A$4:$A$35),_xlfn.XLOOKUP($F26,'System Load'!$G$2:$J$2,'System Load'!$G$1:$J$1)))</f>
        <v>1</v>
      </c>
      <c r="V26" s="125" cm="1">
        <f t="array" ref="V26">IF($F26&lt;=5,1,INDEX('System Load'!$G$4:$J$35,_xlfn.XLOOKUP('Renewable Dispatch'!V$3,'System Load'!$C$4:$C$35,'System Load'!$A$4:$A$35),_xlfn.XLOOKUP($F26,'System Load'!$G$2:$J$2,'System Load'!$G$1:$J$1)))</f>
        <v>0.59113402346411026</v>
      </c>
      <c r="W26" s="125" cm="1">
        <f t="array" ref="W26">IF($F26&lt;=5,1,INDEX('System Load'!$G$4:$J$35,_xlfn.XLOOKUP('Renewable Dispatch'!W$3,'System Load'!$C$4:$C$35,'System Load'!$A$4:$A$35),_xlfn.XLOOKUP($F26,'System Load'!$G$2:$J$2,'System Load'!$G$1:$J$1)))</f>
        <v>0.21486810513457685</v>
      </c>
      <c r="X26" s="132"/>
      <c r="Y26" s="140"/>
      <c r="Z26" s="140"/>
      <c r="AA26" s="140"/>
      <c r="AB26" s="140"/>
      <c r="AC26" s="132"/>
    </row>
    <row r="27" spans="1:29" x14ac:dyDescent="0.25">
      <c r="A27" s="151"/>
      <c r="B27" s="22">
        <v>4</v>
      </c>
      <c r="C27" s="47">
        <v>43</v>
      </c>
      <c r="D27" s="47" t="s">
        <v>20</v>
      </c>
      <c r="E27" s="47" t="str">
        <f>Portfolios!E24</f>
        <v>Offshore Wind</v>
      </c>
      <c r="F27" s="47">
        <f>_xlfn.XLOOKUP(E27,'System Load'!$P$7:$P$15,'System Load'!$Q$7:$Q$15)</f>
        <v>6</v>
      </c>
      <c r="G27" s="47">
        <f>Portfolios!F24</f>
        <v>700</v>
      </c>
      <c r="H27" s="132"/>
      <c r="J27" s="122">
        <f>Bids!G26</f>
        <v>0</v>
      </c>
      <c r="K27" s="122">
        <f>Bids!I26</f>
        <v>0</v>
      </c>
      <c r="L27" s="122">
        <f>Bids!K26</f>
        <v>0</v>
      </c>
      <c r="M27" s="122">
        <f>Bids!M26</f>
        <v>0</v>
      </c>
      <c r="N27" s="132"/>
      <c r="O27" s="122">
        <f ca="1">Bids!H26+RAND()/100</f>
        <v>5.5305485909881377E-4</v>
      </c>
      <c r="P27" s="122">
        <f ca="1">Bids!J26+RAND()/100</f>
        <v>6.2332454378144332E-3</v>
      </c>
      <c r="Q27" s="122">
        <f ca="1">Bids!L26+RAND()/100</f>
        <v>5.7303109578752476E-3</v>
      </c>
      <c r="R27" s="122">
        <f ca="1">Bids!N26+RAND()/100</f>
        <v>3.3931995371208846E-3</v>
      </c>
      <c r="S27" s="132"/>
      <c r="T27" s="125" cm="1">
        <f t="array" ref="T27">IF($F27&lt;=5,1,INDEX('System Load'!$G$4:$J$35,_xlfn.XLOOKUP('Renewable Dispatch'!T$3,'System Load'!$C$4:$C$35,'System Load'!$A$4:$A$35),_xlfn.XLOOKUP($F27,'System Load'!$G$2:$J$2,'System Load'!$G$1:$J$1)))</f>
        <v>0.54509912086794587</v>
      </c>
      <c r="U27" s="125" cm="1">
        <f t="array" ref="U27">IF($F27&lt;=5,1,INDEX('System Load'!$G$4:$J$35,_xlfn.XLOOKUP('Renewable Dispatch'!U$3,'System Load'!$C$4:$C$35,'System Load'!$A$4:$A$35),_xlfn.XLOOKUP($F27,'System Load'!$G$2:$J$2,'System Load'!$G$1:$J$1)))</f>
        <v>1</v>
      </c>
      <c r="V27" s="125" cm="1">
        <f t="array" ref="V27">IF($F27&lt;=5,1,INDEX('System Load'!$G$4:$J$35,_xlfn.XLOOKUP('Renewable Dispatch'!V$3,'System Load'!$C$4:$C$35,'System Load'!$A$4:$A$35),_xlfn.XLOOKUP($F27,'System Load'!$G$2:$J$2,'System Load'!$G$1:$J$1)))</f>
        <v>0.59113402346411026</v>
      </c>
      <c r="W27" s="125" cm="1">
        <f t="array" ref="W27">IF($F27&lt;=5,1,INDEX('System Load'!$G$4:$J$35,_xlfn.XLOOKUP('Renewable Dispatch'!W$3,'System Load'!$C$4:$C$35,'System Load'!$A$4:$A$35),_xlfn.XLOOKUP($F27,'System Load'!$G$2:$J$2,'System Load'!$G$1:$J$1)))</f>
        <v>0.21486810513457685</v>
      </c>
      <c r="X27" s="132"/>
      <c r="Y27" s="140"/>
      <c r="Z27" s="140"/>
      <c r="AA27" s="140"/>
      <c r="AB27" s="140"/>
      <c r="AC27" s="132"/>
    </row>
    <row r="28" spans="1:29" x14ac:dyDescent="0.25">
      <c r="A28" s="151"/>
      <c r="B28" s="22">
        <v>4</v>
      </c>
      <c r="C28" s="47">
        <v>44</v>
      </c>
      <c r="D28" s="47" t="s">
        <v>20</v>
      </c>
      <c r="E28" s="47" t="str">
        <f>Portfolios!E25</f>
        <v>Wave</v>
      </c>
      <c r="F28" s="47">
        <f>_xlfn.XLOOKUP(E28,'System Load'!$P$7:$P$15,'System Load'!$Q$7:$Q$15)</f>
        <v>9</v>
      </c>
      <c r="G28" s="47">
        <f>Portfolios!F25</f>
        <v>425</v>
      </c>
      <c r="H28" s="132"/>
      <c r="J28" s="122">
        <f>Bids!G27</f>
        <v>0</v>
      </c>
      <c r="K28" s="122">
        <f>Bids!I27</f>
        <v>0</v>
      </c>
      <c r="L28" s="122">
        <f>Bids!K27</f>
        <v>0</v>
      </c>
      <c r="M28" s="122">
        <f>Bids!M27</f>
        <v>0</v>
      </c>
      <c r="N28" s="132"/>
      <c r="O28" s="122">
        <f ca="1">Bids!H27+RAND()/100</f>
        <v>7.4459748414234302E-3</v>
      </c>
      <c r="P28" s="122">
        <f ca="1">Bids!J27+RAND()/100</f>
        <v>7.5722623733531433E-3</v>
      </c>
      <c r="Q28" s="122">
        <f ca="1">Bids!L27+RAND()/100</f>
        <v>8.8635257474749835E-3</v>
      </c>
      <c r="R28" s="122">
        <f ca="1">Bids!N27+RAND()/100</f>
        <v>2.6513186917414976E-3</v>
      </c>
      <c r="S28" s="132"/>
      <c r="T28" s="125" cm="1">
        <f t="array" ref="T28">IF($F28&lt;=5,1,INDEX('System Load'!$G$4:$J$35,_xlfn.XLOOKUP('Renewable Dispatch'!T$3,'System Load'!$C$4:$C$35,'System Load'!$A$4:$A$35),_xlfn.XLOOKUP($F28,'System Load'!$G$2:$J$2,'System Load'!$G$1:$J$1)))</f>
        <v>0.87775555973574992</v>
      </c>
      <c r="U28" s="125" cm="1">
        <f t="array" ref="U28">IF($F28&lt;=5,1,INDEX('System Load'!$G$4:$J$35,_xlfn.XLOOKUP('Renewable Dispatch'!U$3,'System Load'!$C$4:$C$35,'System Load'!$A$4:$A$35),_xlfn.XLOOKUP($F28,'System Load'!$G$2:$J$2,'System Load'!$G$1:$J$1)))</f>
        <v>0.91193024234651532</v>
      </c>
      <c r="V28" s="125" cm="1">
        <f t="array" ref="V28">IF($F28&lt;=5,1,INDEX('System Load'!$G$4:$J$35,_xlfn.XLOOKUP('Renewable Dispatch'!V$3,'System Load'!$C$4:$C$35,'System Load'!$A$4:$A$35),_xlfn.XLOOKUP($F28,'System Load'!$G$2:$J$2,'System Load'!$G$1:$J$1)))</f>
        <v>0.86509151056378952</v>
      </c>
      <c r="W28" s="125" cm="1">
        <f t="array" ref="W28">IF($F28&lt;=5,1,INDEX('System Load'!$G$4:$J$35,_xlfn.XLOOKUP('Renewable Dispatch'!W$3,'System Load'!$C$4:$C$35,'System Load'!$A$4:$A$35),_xlfn.XLOOKUP($F28,'System Load'!$G$2:$J$2,'System Load'!$G$1:$J$1)))</f>
        <v>0.92793645787164869</v>
      </c>
      <c r="X28" s="132"/>
      <c r="Y28" s="140"/>
      <c r="Z28" s="140"/>
      <c r="AA28" s="140"/>
      <c r="AB28" s="140"/>
      <c r="AC28" s="132"/>
    </row>
    <row r="29" spans="1:29" x14ac:dyDescent="0.25">
      <c r="A29" s="151"/>
      <c r="B29" s="22">
        <v>4</v>
      </c>
      <c r="C29" s="47">
        <v>45</v>
      </c>
      <c r="D29" s="47" t="s">
        <v>20</v>
      </c>
      <c r="E29" s="47" t="str">
        <f>Portfolios!E26</f>
        <v>Wave</v>
      </c>
      <c r="F29" s="47">
        <f>_xlfn.XLOOKUP(E29,'System Load'!$P$7:$P$15,'System Load'!$Q$7:$Q$15)</f>
        <v>9</v>
      </c>
      <c r="G29" s="47">
        <f>Portfolios!F26</f>
        <v>425</v>
      </c>
      <c r="H29" s="132"/>
      <c r="J29" s="122">
        <f>Bids!G28</f>
        <v>0</v>
      </c>
      <c r="K29" s="122">
        <f>Bids!I28</f>
        <v>0</v>
      </c>
      <c r="L29" s="122">
        <f>Bids!K28</f>
        <v>0</v>
      </c>
      <c r="M29" s="122">
        <f>Bids!M28</f>
        <v>0</v>
      </c>
      <c r="N29" s="132"/>
      <c r="O29" s="122">
        <f ca="1">Bids!H28+RAND()/100</f>
        <v>3.1234104424935328E-3</v>
      </c>
      <c r="P29" s="122">
        <f ca="1">Bids!J28+RAND()/100</f>
        <v>8.418342946447362E-3</v>
      </c>
      <c r="Q29" s="122">
        <f ca="1">Bids!L28+RAND()/100</f>
        <v>2.1519776814410518E-3</v>
      </c>
      <c r="R29" s="122">
        <f ca="1">Bids!N28+RAND()/100</f>
        <v>3.3656778069630455E-3</v>
      </c>
      <c r="S29" s="132"/>
      <c r="T29" s="125" cm="1">
        <f t="array" ref="T29">IF($F29&lt;=5,1,INDEX('System Load'!$G$4:$J$35,_xlfn.XLOOKUP('Renewable Dispatch'!T$3,'System Load'!$C$4:$C$35,'System Load'!$A$4:$A$35),_xlfn.XLOOKUP($F29,'System Load'!$G$2:$J$2,'System Load'!$G$1:$J$1)))</f>
        <v>0.87775555973574992</v>
      </c>
      <c r="U29" s="125" cm="1">
        <f t="array" ref="U29">IF($F29&lt;=5,1,INDEX('System Load'!$G$4:$J$35,_xlfn.XLOOKUP('Renewable Dispatch'!U$3,'System Load'!$C$4:$C$35,'System Load'!$A$4:$A$35),_xlfn.XLOOKUP($F29,'System Load'!$G$2:$J$2,'System Load'!$G$1:$J$1)))</f>
        <v>0.91193024234651532</v>
      </c>
      <c r="V29" s="125" cm="1">
        <f t="array" ref="V29">IF($F29&lt;=5,1,INDEX('System Load'!$G$4:$J$35,_xlfn.XLOOKUP('Renewable Dispatch'!V$3,'System Load'!$C$4:$C$35,'System Load'!$A$4:$A$35),_xlfn.XLOOKUP($F29,'System Load'!$G$2:$J$2,'System Load'!$G$1:$J$1)))</f>
        <v>0.86509151056378952</v>
      </c>
      <c r="W29" s="125" cm="1">
        <f t="array" ref="W29">IF($F29&lt;=5,1,INDEX('System Load'!$G$4:$J$35,_xlfn.XLOOKUP('Renewable Dispatch'!W$3,'System Load'!$C$4:$C$35,'System Load'!$A$4:$A$35),_xlfn.XLOOKUP($F29,'System Load'!$G$2:$J$2,'System Load'!$G$1:$J$1)))</f>
        <v>0.92793645787164869</v>
      </c>
      <c r="X29" s="132"/>
      <c r="Y29" s="140"/>
      <c r="Z29" s="140"/>
      <c r="AA29" s="140"/>
      <c r="AB29" s="140"/>
      <c r="AC29" s="132"/>
    </row>
    <row r="30" spans="1:29" x14ac:dyDescent="0.25">
      <c r="A30" s="151"/>
      <c r="B30" s="22">
        <v>4</v>
      </c>
      <c r="C30" s="47">
        <v>46</v>
      </c>
      <c r="D30" s="47" t="s">
        <v>20</v>
      </c>
      <c r="E30" s="47" t="str">
        <f>Portfolios!E27</f>
        <v>Natural Gas</v>
      </c>
      <c r="F30" s="47">
        <f>_xlfn.XLOOKUP(E30,'System Load'!$P$7:$P$15,'System Load'!$Q$7:$Q$15)</f>
        <v>4</v>
      </c>
      <c r="G30" s="47">
        <f>Portfolios!F27</f>
        <v>225</v>
      </c>
      <c r="H30" s="132"/>
      <c r="J30" s="122">
        <f>Bids!G29</f>
        <v>0</v>
      </c>
      <c r="K30" s="122">
        <f>Bids!I29</f>
        <v>0</v>
      </c>
      <c r="L30" s="122">
        <f>Bids!K29</f>
        <v>0</v>
      </c>
      <c r="M30" s="122">
        <f>Bids!M29</f>
        <v>0</v>
      </c>
      <c r="N30" s="132"/>
      <c r="O30" s="122">
        <f ca="1">Bids!H29+RAND()/100</f>
        <v>9.064259869114806E-3</v>
      </c>
      <c r="P30" s="122">
        <f ca="1">Bids!J29+RAND()/100</f>
        <v>4.0409102261574938E-3</v>
      </c>
      <c r="Q30" s="122">
        <f ca="1">Bids!L29+RAND()/100</f>
        <v>1.7075155387938502E-3</v>
      </c>
      <c r="R30" s="122">
        <f ca="1">Bids!N29+RAND()/100</f>
        <v>5.6709564513151966E-3</v>
      </c>
      <c r="S30" s="132"/>
      <c r="T30" s="125" cm="1">
        <f t="array" ref="T30">IF($F30&lt;=5,1,INDEX('System Load'!$G$4:$J$35,_xlfn.XLOOKUP('Renewable Dispatch'!T$3,'System Load'!$C$4:$C$35,'System Load'!$A$4:$A$35),_xlfn.XLOOKUP($F30,'System Load'!$G$2:$J$2,'System Load'!$G$1:$J$1)))</f>
        <v>1</v>
      </c>
      <c r="U30" s="125" cm="1">
        <f t="array" ref="U30">IF($F30&lt;=5,1,INDEX('System Load'!$G$4:$J$35,_xlfn.XLOOKUP('Renewable Dispatch'!U$3,'System Load'!$C$4:$C$35,'System Load'!$A$4:$A$35),_xlfn.XLOOKUP($F30,'System Load'!$G$2:$J$2,'System Load'!$G$1:$J$1)))</f>
        <v>1</v>
      </c>
      <c r="V30" s="125" cm="1">
        <f t="array" ref="V30">IF($F30&lt;=5,1,INDEX('System Load'!$G$4:$J$35,_xlfn.XLOOKUP('Renewable Dispatch'!V$3,'System Load'!$C$4:$C$35,'System Load'!$A$4:$A$35),_xlfn.XLOOKUP($F30,'System Load'!$G$2:$J$2,'System Load'!$G$1:$J$1)))</f>
        <v>1</v>
      </c>
      <c r="W30" s="125" cm="1">
        <f t="array" ref="W30">IF($F30&lt;=5,1,INDEX('System Load'!$G$4:$J$35,_xlfn.XLOOKUP('Renewable Dispatch'!W$3,'System Load'!$C$4:$C$35,'System Load'!$A$4:$A$35),_xlfn.XLOOKUP($F30,'System Load'!$G$2:$J$2,'System Load'!$G$1:$J$1)))</f>
        <v>1</v>
      </c>
      <c r="X30" s="132"/>
      <c r="Y30" s="140"/>
      <c r="Z30" s="140"/>
      <c r="AA30" s="140"/>
      <c r="AB30" s="140"/>
      <c r="AC30" s="132"/>
    </row>
    <row r="31" spans="1:29" x14ac:dyDescent="0.25">
      <c r="A31" s="151"/>
      <c r="B31" s="24">
        <v>4</v>
      </c>
      <c r="C31" s="48">
        <v>47</v>
      </c>
      <c r="D31" s="48" t="s">
        <v>20</v>
      </c>
      <c r="E31" s="48" t="str">
        <f>Portfolios!E28</f>
        <v>Natural Gas</v>
      </c>
      <c r="F31" s="48">
        <f>_xlfn.XLOOKUP(E31,'System Load'!$P$7:$P$15,'System Load'!$Q$7:$Q$15)</f>
        <v>4</v>
      </c>
      <c r="G31" s="48">
        <f>Portfolios!F28</f>
        <v>175</v>
      </c>
      <c r="H31" s="132"/>
      <c r="J31" s="122">
        <f>Bids!G30</f>
        <v>0</v>
      </c>
      <c r="K31" s="122">
        <f>Bids!I30</f>
        <v>0</v>
      </c>
      <c r="L31" s="122">
        <f>Bids!K30</f>
        <v>0</v>
      </c>
      <c r="M31" s="122">
        <f>Bids!M30</f>
        <v>0</v>
      </c>
      <c r="N31" s="132"/>
      <c r="O31" s="122">
        <f ca="1">Bids!H30+RAND()/100</f>
        <v>9.6245619476894445E-3</v>
      </c>
      <c r="P31" s="122">
        <f ca="1">Bids!J30+RAND()/100</f>
        <v>3.7753919054698184E-3</v>
      </c>
      <c r="Q31" s="122">
        <f ca="1">Bids!L30+RAND()/100</f>
        <v>9.6277424603257895E-3</v>
      </c>
      <c r="R31" s="122">
        <f ca="1">Bids!N30+RAND()/100</f>
        <v>7.4005476890415915E-3</v>
      </c>
      <c r="S31" s="132"/>
      <c r="T31" s="125" cm="1">
        <f t="array" ref="T31">IF($F31&lt;=5,1,INDEX('System Load'!$G$4:$J$35,_xlfn.XLOOKUP('Renewable Dispatch'!T$3,'System Load'!$C$4:$C$35,'System Load'!$A$4:$A$35),_xlfn.XLOOKUP($F31,'System Load'!$G$2:$J$2,'System Load'!$G$1:$J$1)))</f>
        <v>1</v>
      </c>
      <c r="U31" s="125" cm="1">
        <f t="array" ref="U31">IF($F31&lt;=5,1,INDEX('System Load'!$G$4:$J$35,_xlfn.XLOOKUP('Renewable Dispatch'!U$3,'System Load'!$C$4:$C$35,'System Load'!$A$4:$A$35),_xlfn.XLOOKUP($F31,'System Load'!$G$2:$J$2,'System Load'!$G$1:$J$1)))</f>
        <v>1</v>
      </c>
      <c r="V31" s="125" cm="1">
        <f t="array" ref="V31">IF($F31&lt;=5,1,INDEX('System Load'!$G$4:$J$35,_xlfn.XLOOKUP('Renewable Dispatch'!V$3,'System Load'!$C$4:$C$35,'System Load'!$A$4:$A$35),_xlfn.XLOOKUP($F31,'System Load'!$G$2:$J$2,'System Load'!$G$1:$J$1)))</f>
        <v>1</v>
      </c>
      <c r="W31" s="125" cm="1">
        <f t="array" ref="W31">IF($F31&lt;=5,1,INDEX('System Load'!$G$4:$J$35,_xlfn.XLOOKUP('Renewable Dispatch'!W$3,'System Load'!$C$4:$C$35,'System Load'!$A$4:$A$35),_xlfn.XLOOKUP($F31,'System Load'!$G$2:$J$2,'System Load'!$G$1:$J$1)))</f>
        <v>1</v>
      </c>
      <c r="X31" s="132"/>
      <c r="Y31" s="140"/>
      <c r="Z31" s="140"/>
      <c r="AA31" s="140"/>
      <c r="AB31" s="140"/>
      <c r="AC31" s="132"/>
    </row>
    <row r="32" spans="1:29" x14ac:dyDescent="0.25">
      <c r="A32" s="153" t="s">
        <v>17</v>
      </c>
      <c r="B32" s="57">
        <v>5</v>
      </c>
      <c r="C32" s="49">
        <v>51</v>
      </c>
      <c r="D32" s="49" t="s">
        <v>21</v>
      </c>
      <c r="E32" s="49" t="str">
        <f>Portfolios!E29</f>
        <v>Nuclear</v>
      </c>
      <c r="F32" s="49">
        <f>_xlfn.XLOOKUP(E32,'System Load'!$P$7:$P$15,'System Load'!$Q$7:$Q$15)</f>
        <v>5</v>
      </c>
      <c r="G32" s="49">
        <f>Portfolios!F29</f>
        <v>1100</v>
      </c>
      <c r="H32" s="132"/>
      <c r="J32" s="122">
        <f>Bids!G31</f>
        <v>0</v>
      </c>
      <c r="K32" s="122">
        <f>Bids!I31</f>
        <v>0</v>
      </c>
      <c r="L32" s="122">
        <f>Bids!K31</f>
        <v>0</v>
      </c>
      <c r="M32" s="122">
        <f>Bids!M31</f>
        <v>0</v>
      </c>
      <c r="N32" s="132"/>
      <c r="O32" s="122">
        <f ca="1">Bids!H31+RAND()/100</f>
        <v>3.383792911280058E-3</v>
      </c>
      <c r="P32" s="122">
        <f ca="1">Bids!J31+RAND()/100</f>
        <v>2.9464811175779026E-3</v>
      </c>
      <c r="Q32" s="122">
        <f ca="1">Bids!L31+RAND()/100</f>
        <v>1.7450875988678615E-3</v>
      </c>
      <c r="R32" s="122">
        <f ca="1">Bids!N31+RAND()/100</f>
        <v>6.4892876495375902E-3</v>
      </c>
      <c r="S32" s="132"/>
      <c r="T32" s="125" cm="1">
        <f t="array" ref="T32">IF($F32&lt;=5,1,INDEX('System Load'!$G$4:$J$35,_xlfn.XLOOKUP('Renewable Dispatch'!T$3,'System Load'!$C$4:$C$35,'System Load'!$A$4:$A$35),_xlfn.XLOOKUP($F32,'System Load'!$G$2:$J$2,'System Load'!$G$1:$J$1)))</f>
        <v>1</v>
      </c>
      <c r="U32" s="125" cm="1">
        <f t="array" ref="U32">IF($F32&lt;=5,1,INDEX('System Load'!$G$4:$J$35,_xlfn.XLOOKUP('Renewable Dispatch'!U$3,'System Load'!$C$4:$C$35,'System Load'!$A$4:$A$35),_xlfn.XLOOKUP($F32,'System Load'!$G$2:$J$2,'System Load'!$G$1:$J$1)))</f>
        <v>1</v>
      </c>
      <c r="V32" s="125" cm="1">
        <f t="array" ref="V32">IF($F32&lt;=5,1,INDEX('System Load'!$G$4:$J$35,_xlfn.XLOOKUP('Renewable Dispatch'!V$3,'System Load'!$C$4:$C$35,'System Load'!$A$4:$A$35),_xlfn.XLOOKUP($F32,'System Load'!$G$2:$J$2,'System Load'!$G$1:$J$1)))</f>
        <v>1</v>
      </c>
      <c r="W32" s="125" cm="1">
        <f t="array" ref="W32">IF($F32&lt;=5,1,INDEX('System Load'!$G$4:$J$35,_xlfn.XLOOKUP('Renewable Dispatch'!W$3,'System Load'!$C$4:$C$35,'System Load'!$A$4:$A$35),_xlfn.XLOOKUP($F32,'System Load'!$G$2:$J$2,'System Load'!$G$1:$J$1)))</f>
        <v>1</v>
      </c>
      <c r="X32" s="132"/>
      <c r="Y32" s="140"/>
      <c r="Z32" s="140"/>
      <c r="AA32" s="140"/>
      <c r="AB32" s="140"/>
      <c r="AC32" s="132"/>
    </row>
    <row r="33" spans="1:29" x14ac:dyDescent="0.25">
      <c r="A33" s="154"/>
      <c r="B33" s="112">
        <v>5</v>
      </c>
      <c r="C33" s="113">
        <v>52</v>
      </c>
      <c r="D33" s="113" t="s">
        <v>21</v>
      </c>
      <c r="E33" s="113" t="str">
        <f>Portfolios!E30</f>
        <v>Nuclear</v>
      </c>
      <c r="F33" s="113">
        <f>_xlfn.XLOOKUP(E33,'System Load'!$P$7:$P$15,'System Load'!$Q$7:$Q$15)</f>
        <v>5</v>
      </c>
      <c r="G33" s="113">
        <f>Portfolios!F30</f>
        <v>950</v>
      </c>
      <c r="H33" s="132"/>
      <c r="J33" s="122">
        <f>Bids!G32</f>
        <v>0</v>
      </c>
      <c r="K33" s="122">
        <f>Bids!I32</f>
        <v>0</v>
      </c>
      <c r="L33" s="122">
        <f>Bids!K32</f>
        <v>0</v>
      </c>
      <c r="M33" s="122">
        <f>Bids!M32</f>
        <v>0</v>
      </c>
      <c r="N33" s="132"/>
      <c r="O33" s="122">
        <f ca="1">Bids!H32+RAND()/100</f>
        <v>6.8073076214798746E-4</v>
      </c>
      <c r="P33" s="122">
        <f ca="1">Bids!J32+RAND()/100</f>
        <v>9.6065463165692314E-3</v>
      </c>
      <c r="Q33" s="122">
        <f ca="1">Bids!L32+RAND()/100</f>
        <v>9.6716237631484913E-3</v>
      </c>
      <c r="R33" s="122">
        <f ca="1">Bids!N32+RAND()/100</f>
        <v>2.0910586935864151E-3</v>
      </c>
      <c r="S33" s="132"/>
      <c r="T33" s="125" cm="1">
        <f t="array" ref="T33">IF($F33&lt;=5,1,INDEX('System Load'!$G$4:$J$35,_xlfn.XLOOKUP('Renewable Dispatch'!T$3,'System Load'!$C$4:$C$35,'System Load'!$A$4:$A$35),_xlfn.XLOOKUP($F33,'System Load'!$G$2:$J$2,'System Load'!$G$1:$J$1)))</f>
        <v>1</v>
      </c>
      <c r="U33" s="125" cm="1">
        <f t="array" ref="U33">IF($F33&lt;=5,1,INDEX('System Load'!$G$4:$J$35,_xlfn.XLOOKUP('Renewable Dispatch'!U$3,'System Load'!$C$4:$C$35,'System Load'!$A$4:$A$35),_xlfn.XLOOKUP($F33,'System Load'!$G$2:$J$2,'System Load'!$G$1:$J$1)))</f>
        <v>1</v>
      </c>
      <c r="V33" s="125" cm="1">
        <f t="array" ref="V33">IF($F33&lt;=5,1,INDEX('System Load'!$G$4:$J$35,_xlfn.XLOOKUP('Renewable Dispatch'!V$3,'System Load'!$C$4:$C$35,'System Load'!$A$4:$A$35),_xlfn.XLOOKUP($F33,'System Load'!$G$2:$J$2,'System Load'!$G$1:$J$1)))</f>
        <v>1</v>
      </c>
      <c r="W33" s="125" cm="1">
        <f t="array" ref="W33">IF($F33&lt;=5,1,INDEX('System Load'!$G$4:$J$35,_xlfn.XLOOKUP('Renewable Dispatch'!W$3,'System Load'!$C$4:$C$35,'System Load'!$A$4:$A$35),_xlfn.XLOOKUP($F33,'System Load'!$G$2:$J$2,'System Load'!$G$1:$J$1)))</f>
        <v>1</v>
      </c>
      <c r="X33" s="132"/>
      <c r="Y33" s="140"/>
      <c r="Z33" s="140"/>
      <c r="AA33" s="140"/>
      <c r="AB33" s="140"/>
      <c r="AC33" s="132"/>
    </row>
    <row r="34" spans="1:29" x14ac:dyDescent="0.25">
      <c r="A34" s="154"/>
      <c r="B34" s="112">
        <v>5</v>
      </c>
      <c r="C34" s="113">
        <v>53</v>
      </c>
      <c r="D34" s="113" t="s">
        <v>21</v>
      </c>
      <c r="E34" s="113" t="str">
        <f>Portfolios!E31</f>
        <v>Hydro</v>
      </c>
      <c r="F34" s="113">
        <f>_xlfn.XLOOKUP(E34,'System Load'!$P$7:$P$15,'System Load'!$Q$7:$Q$15)</f>
        <v>3</v>
      </c>
      <c r="G34" s="113">
        <f>Portfolios!F31</f>
        <v>650</v>
      </c>
      <c r="H34" s="132"/>
      <c r="J34" s="122">
        <f>Bids!G33</f>
        <v>0</v>
      </c>
      <c r="K34" s="122">
        <f>Bids!I33</f>
        <v>0</v>
      </c>
      <c r="L34" s="122">
        <f>Bids!K33</f>
        <v>0</v>
      </c>
      <c r="M34" s="122">
        <f>Bids!M33</f>
        <v>0</v>
      </c>
      <c r="N34" s="132"/>
      <c r="O34" s="122">
        <f ca="1">Bids!H33+RAND()/100</f>
        <v>5.1276765633668517E-3</v>
      </c>
      <c r="P34" s="122">
        <f ca="1">Bids!J33+RAND()/100</f>
        <v>6.1727982450091303E-3</v>
      </c>
      <c r="Q34" s="122">
        <f ca="1">Bids!L33+RAND()/100</f>
        <v>2.6926938150661061E-3</v>
      </c>
      <c r="R34" s="122">
        <f ca="1">Bids!N33+RAND()/100</f>
        <v>8.4194157145218856E-3</v>
      </c>
      <c r="S34" s="132"/>
      <c r="T34" s="125" cm="1">
        <f t="array" ref="T34">IF($F34&lt;=5,1,INDEX('System Load'!$G$4:$J$35,_xlfn.XLOOKUP('Renewable Dispatch'!T$3,'System Load'!$C$4:$C$35,'System Load'!$A$4:$A$35),_xlfn.XLOOKUP($F34,'System Load'!$G$2:$J$2,'System Load'!$G$1:$J$1)))</f>
        <v>1</v>
      </c>
      <c r="U34" s="125" cm="1">
        <f t="array" ref="U34">IF($F34&lt;=5,1,INDEX('System Load'!$G$4:$J$35,_xlfn.XLOOKUP('Renewable Dispatch'!U$3,'System Load'!$C$4:$C$35,'System Load'!$A$4:$A$35),_xlfn.XLOOKUP($F34,'System Load'!$G$2:$J$2,'System Load'!$G$1:$J$1)))</f>
        <v>1</v>
      </c>
      <c r="V34" s="125" cm="1">
        <f t="array" ref="V34">IF($F34&lt;=5,1,INDEX('System Load'!$G$4:$J$35,_xlfn.XLOOKUP('Renewable Dispatch'!V$3,'System Load'!$C$4:$C$35,'System Load'!$A$4:$A$35),_xlfn.XLOOKUP($F34,'System Load'!$G$2:$J$2,'System Load'!$G$1:$J$1)))</f>
        <v>1</v>
      </c>
      <c r="W34" s="125" cm="1">
        <f t="array" ref="W34">IF($F34&lt;=5,1,INDEX('System Load'!$G$4:$J$35,_xlfn.XLOOKUP('Renewable Dispatch'!W$3,'System Load'!$C$4:$C$35,'System Load'!$A$4:$A$35),_xlfn.XLOOKUP($F34,'System Load'!$G$2:$J$2,'System Load'!$G$1:$J$1)))</f>
        <v>1</v>
      </c>
      <c r="X34" s="132"/>
      <c r="Y34" s="140"/>
      <c r="Z34" s="140"/>
      <c r="AA34" s="140"/>
      <c r="AB34" s="140"/>
      <c r="AC34" s="132"/>
    </row>
    <row r="35" spans="1:29" x14ac:dyDescent="0.25">
      <c r="A35" s="154"/>
      <c r="B35" s="112">
        <v>5</v>
      </c>
      <c r="C35" s="113">
        <v>54</v>
      </c>
      <c r="D35" s="113" t="s">
        <v>21</v>
      </c>
      <c r="E35" s="113" t="str">
        <f>Portfolios!E32</f>
        <v>Hydro</v>
      </c>
      <c r="F35" s="113">
        <f>_xlfn.XLOOKUP(E35,'System Load'!$P$7:$P$15,'System Load'!$Q$7:$Q$15)</f>
        <v>3</v>
      </c>
      <c r="G35" s="113">
        <f>Portfolios!F32</f>
        <v>450</v>
      </c>
      <c r="H35" s="132"/>
      <c r="J35" s="122">
        <f>Bids!G34</f>
        <v>0</v>
      </c>
      <c r="K35" s="122">
        <f>Bids!I34</f>
        <v>0</v>
      </c>
      <c r="L35" s="122">
        <f>Bids!K34</f>
        <v>0</v>
      </c>
      <c r="M35" s="122">
        <f>Bids!M34</f>
        <v>0</v>
      </c>
      <c r="N35" s="132"/>
      <c r="O35" s="122">
        <f ca="1">Bids!H34+RAND()/100</f>
        <v>7.6037935154849145E-3</v>
      </c>
      <c r="P35" s="122">
        <f ca="1">Bids!J34+RAND()/100</f>
        <v>3.0881476444423448E-3</v>
      </c>
      <c r="Q35" s="122">
        <f ca="1">Bids!L34+RAND()/100</f>
        <v>4.9277947046577593E-3</v>
      </c>
      <c r="R35" s="122">
        <f ca="1">Bids!N34+RAND()/100</f>
        <v>4.5676263754390774E-3</v>
      </c>
      <c r="S35" s="132"/>
      <c r="T35" s="125" cm="1">
        <f t="array" ref="T35">IF($F35&lt;=5,1,INDEX('System Load'!$G$4:$J$35,_xlfn.XLOOKUP('Renewable Dispatch'!T$3,'System Load'!$C$4:$C$35,'System Load'!$A$4:$A$35),_xlfn.XLOOKUP($F35,'System Load'!$G$2:$J$2,'System Load'!$G$1:$J$1)))</f>
        <v>1</v>
      </c>
      <c r="U35" s="125" cm="1">
        <f t="array" ref="U35">IF($F35&lt;=5,1,INDEX('System Load'!$G$4:$J$35,_xlfn.XLOOKUP('Renewable Dispatch'!U$3,'System Load'!$C$4:$C$35,'System Load'!$A$4:$A$35),_xlfn.XLOOKUP($F35,'System Load'!$G$2:$J$2,'System Load'!$G$1:$J$1)))</f>
        <v>1</v>
      </c>
      <c r="V35" s="125" cm="1">
        <f t="array" ref="V35">IF($F35&lt;=5,1,INDEX('System Load'!$G$4:$J$35,_xlfn.XLOOKUP('Renewable Dispatch'!V$3,'System Load'!$C$4:$C$35,'System Load'!$A$4:$A$35),_xlfn.XLOOKUP($F35,'System Load'!$G$2:$J$2,'System Load'!$G$1:$J$1)))</f>
        <v>1</v>
      </c>
      <c r="W35" s="125" cm="1">
        <f t="array" ref="W35">IF($F35&lt;=5,1,INDEX('System Load'!$G$4:$J$35,_xlfn.XLOOKUP('Renewable Dispatch'!W$3,'System Load'!$C$4:$C$35,'System Load'!$A$4:$A$35),_xlfn.XLOOKUP($F35,'System Load'!$G$2:$J$2,'System Load'!$G$1:$J$1)))</f>
        <v>1</v>
      </c>
      <c r="X35" s="132"/>
      <c r="Y35" s="140"/>
      <c r="Z35" s="140"/>
      <c r="AA35" s="140"/>
      <c r="AB35" s="140"/>
      <c r="AC35" s="132"/>
    </row>
    <row r="36" spans="1:29" x14ac:dyDescent="0.25">
      <c r="A36" s="155"/>
      <c r="B36" s="27">
        <v>5</v>
      </c>
      <c r="C36" s="50">
        <v>55</v>
      </c>
      <c r="D36" s="50" t="s">
        <v>21</v>
      </c>
      <c r="E36" s="50" t="str">
        <f>Portfolios!E33</f>
        <v>Onshore Wind</v>
      </c>
      <c r="F36" s="50">
        <f>_xlfn.XLOOKUP(E36,'System Load'!$P$7:$P$15,'System Load'!$Q$7:$Q$15)</f>
        <v>7</v>
      </c>
      <c r="G36" s="50">
        <f>Portfolios!F33</f>
        <v>400</v>
      </c>
      <c r="H36" s="132"/>
      <c r="J36" s="122">
        <f>Bids!G35</f>
        <v>0</v>
      </c>
      <c r="K36" s="122">
        <f>Bids!I35</f>
        <v>0</v>
      </c>
      <c r="L36" s="122">
        <f>Bids!K35</f>
        <v>0</v>
      </c>
      <c r="M36" s="122">
        <f>Bids!M35</f>
        <v>0</v>
      </c>
      <c r="N36" s="132"/>
      <c r="O36" s="122">
        <f ca="1">Bids!H35+RAND()/100</f>
        <v>9.2597347702142903E-3</v>
      </c>
      <c r="P36" s="122">
        <f ca="1">Bids!J35+RAND()/100</f>
        <v>1.1400848863491009E-3</v>
      </c>
      <c r="Q36" s="122">
        <f ca="1">Bids!L35+RAND()/100</f>
        <v>7.8324350759258698E-4</v>
      </c>
      <c r="R36" s="122">
        <f ca="1">Bids!N35+RAND()/100</f>
        <v>6.5949851009291082E-3</v>
      </c>
      <c r="S36" s="132"/>
      <c r="T36" s="125" cm="1">
        <f t="array" ref="T36">IF($F36&lt;=5,1,INDEX('System Load'!$G$4:$J$35,_xlfn.XLOOKUP('Renewable Dispatch'!T$3,'System Load'!$C$4:$C$35,'System Load'!$A$4:$A$35),_xlfn.XLOOKUP($F36,'System Load'!$G$2:$J$2,'System Load'!$G$1:$J$1)))</f>
        <v>5.5797367722411444E-2</v>
      </c>
      <c r="U36" s="125" cm="1">
        <f t="array" ref="U36">IF($F36&lt;=5,1,INDEX('System Load'!$G$4:$J$35,_xlfn.XLOOKUP('Renewable Dispatch'!U$3,'System Load'!$C$4:$C$35,'System Load'!$A$4:$A$35),_xlfn.XLOOKUP($F36,'System Load'!$G$2:$J$2,'System Load'!$G$1:$J$1)))</f>
        <v>0.7086320544697684</v>
      </c>
      <c r="V36" s="125" cm="1">
        <f t="array" ref="V36">IF($F36&lt;=5,1,INDEX('System Load'!$G$4:$J$35,_xlfn.XLOOKUP('Renewable Dispatch'!V$3,'System Load'!$C$4:$C$35,'System Load'!$A$4:$A$35),_xlfn.XLOOKUP($F36,'System Load'!$G$2:$J$2,'System Load'!$G$1:$J$1)))</f>
        <v>0.44947750155632576</v>
      </c>
      <c r="W36" s="125" cm="1">
        <f t="array" ref="W36">IF($F36&lt;=5,1,INDEX('System Load'!$G$4:$J$35,_xlfn.XLOOKUP('Renewable Dispatch'!W$3,'System Load'!$C$4:$C$35,'System Load'!$A$4:$A$35),_xlfn.XLOOKUP($F36,'System Load'!$G$2:$J$2,'System Load'!$G$1:$J$1)))</f>
        <v>0.11977743004956157</v>
      </c>
      <c r="X36" s="132"/>
      <c r="Y36" s="140"/>
      <c r="Z36" s="140"/>
      <c r="AA36" s="140"/>
      <c r="AB36" s="140"/>
      <c r="AC36" s="132"/>
    </row>
    <row r="37" spans="1:29" x14ac:dyDescent="0.25">
      <c r="A37" s="152" t="s">
        <v>18</v>
      </c>
      <c r="B37" s="58">
        <v>6</v>
      </c>
      <c r="C37" s="59">
        <v>61</v>
      </c>
      <c r="D37" s="59" t="s">
        <v>21</v>
      </c>
      <c r="E37" s="59" t="str">
        <f>Portfolios!E34</f>
        <v>Solar</v>
      </c>
      <c r="F37" s="59">
        <f>_xlfn.XLOOKUP(E37,'System Load'!$P$7:$P$15,'System Load'!$Q$7:$Q$15)</f>
        <v>8</v>
      </c>
      <c r="G37" s="59">
        <f>Portfolios!F34</f>
        <v>950</v>
      </c>
      <c r="H37" s="132"/>
      <c r="J37" s="122">
        <f>Bids!G36</f>
        <v>0</v>
      </c>
      <c r="K37" s="122">
        <f>Bids!I36</f>
        <v>0</v>
      </c>
      <c r="L37" s="122">
        <f>Bids!K36</f>
        <v>0</v>
      </c>
      <c r="M37" s="122">
        <f>Bids!M36</f>
        <v>0</v>
      </c>
      <c r="N37" s="132"/>
      <c r="O37" s="122">
        <f ca="1">Bids!H36+RAND()/100</f>
        <v>7.8976282594780504E-3</v>
      </c>
      <c r="P37" s="122">
        <f ca="1">Bids!J36+RAND()/100</f>
        <v>5.1069235892204322E-3</v>
      </c>
      <c r="Q37" s="122">
        <f ca="1">Bids!L36+RAND()/100</f>
        <v>3.3326119215467197E-3</v>
      </c>
      <c r="R37" s="122">
        <f ca="1">Bids!N36+RAND()/100</f>
        <v>9.9340391679312509E-3</v>
      </c>
      <c r="S37" s="132"/>
      <c r="T37" s="125" cm="1">
        <f t="array" ref="T37">IF($F37&lt;=5,1,INDEX('System Load'!$G$4:$J$35,_xlfn.XLOOKUP('Renewable Dispatch'!T$3,'System Load'!$C$4:$C$35,'System Load'!$A$4:$A$35),_xlfn.XLOOKUP($F37,'System Load'!$G$2:$J$2,'System Load'!$G$1:$J$1)))</f>
        <v>0.44438287795640707</v>
      </c>
      <c r="U37" s="125" cm="1">
        <f t="array" ref="U37">IF($F37&lt;=5,1,INDEX('System Load'!$G$4:$J$35,_xlfn.XLOOKUP('Renewable Dispatch'!U$3,'System Load'!$C$4:$C$35,'System Load'!$A$4:$A$35),_xlfn.XLOOKUP($F37,'System Load'!$G$2:$J$2,'System Load'!$G$1:$J$1)))</f>
        <v>1</v>
      </c>
      <c r="V37" s="125" cm="1">
        <f t="array" ref="V37">IF($F37&lt;=5,1,INDEX('System Load'!$G$4:$J$35,_xlfn.XLOOKUP('Renewable Dispatch'!V$3,'System Load'!$C$4:$C$35,'System Load'!$A$4:$A$35),_xlfn.XLOOKUP($F37,'System Load'!$G$2:$J$2,'System Load'!$G$1:$J$1)))</f>
        <v>0.7911693577328841</v>
      </c>
      <c r="W37" s="125" cm="1">
        <f t="array" ref="W37">IF($F37&lt;=5,1,INDEX('System Load'!$G$4:$J$35,_xlfn.XLOOKUP('Renewable Dispatch'!W$3,'System Load'!$C$4:$C$35,'System Load'!$A$4:$A$35),_xlfn.XLOOKUP($F37,'System Load'!$G$2:$J$2,'System Load'!$G$1:$J$1)))</f>
        <v>0.23501107097533397</v>
      </c>
      <c r="X37" s="132"/>
      <c r="Y37" s="140"/>
      <c r="Z37" s="140"/>
      <c r="AA37" s="140"/>
      <c r="AB37" s="140"/>
      <c r="AC37" s="132"/>
    </row>
    <row r="38" spans="1:29" x14ac:dyDescent="0.25">
      <c r="A38" s="152"/>
      <c r="B38" s="33">
        <v>6</v>
      </c>
      <c r="C38" s="51">
        <v>62</v>
      </c>
      <c r="D38" s="51" t="s">
        <v>21</v>
      </c>
      <c r="E38" s="51" t="str">
        <f>Portfolios!E35</f>
        <v>Solar</v>
      </c>
      <c r="F38" s="51">
        <f>_xlfn.XLOOKUP(E38,'System Load'!$P$7:$P$15,'System Load'!$Q$7:$Q$15)</f>
        <v>8</v>
      </c>
      <c r="G38" s="51">
        <f>Portfolios!F35</f>
        <v>875</v>
      </c>
      <c r="H38" s="132"/>
      <c r="J38" s="122">
        <f>Bids!G37</f>
        <v>0</v>
      </c>
      <c r="K38" s="122">
        <f>Bids!I37</f>
        <v>0</v>
      </c>
      <c r="L38" s="122">
        <f>Bids!K37</f>
        <v>0</v>
      </c>
      <c r="M38" s="122">
        <f>Bids!M37</f>
        <v>0</v>
      </c>
      <c r="N38" s="132"/>
      <c r="O38" s="122">
        <f ca="1">Bids!H37+RAND()/100</f>
        <v>9.5276108382567667E-3</v>
      </c>
      <c r="P38" s="122">
        <f ca="1">Bids!J37+RAND()/100</f>
        <v>1.255823461545904E-3</v>
      </c>
      <c r="Q38" s="122">
        <f ca="1">Bids!L37+RAND()/100</f>
        <v>8.1831891897162228E-4</v>
      </c>
      <c r="R38" s="122">
        <f ca="1">Bids!N37+RAND()/100</f>
        <v>3.3054018301378984E-3</v>
      </c>
      <c r="S38" s="132"/>
      <c r="T38" s="125" cm="1">
        <f t="array" ref="T38">IF($F38&lt;=5,1,INDEX('System Load'!$G$4:$J$35,_xlfn.XLOOKUP('Renewable Dispatch'!T$3,'System Load'!$C$4:$C$35,'System Load'!$A$4:$A$35),_xlfn.XLOOKUP($F38,'System Load'!$G$2:$J$2,'System Load'!$G$1:$J$1)))</f>
        <v>0.44438287795640707</v>
      </c>
      <c r="U38" s="125" cm="1">
        <f t="array" ref="U38">IF($F38&lt;=5,1,INDEX('System Load'!$G$4:$J$35,_xlfn.XLOOKUP('Renewable Dispatch'!U$3,'System Load'!$C$4:$C$35,'System Load'!$A$4:$A$35),_xlfn.XLOOKUP($F38,'System Load'!$G$2:$J$2,'System Load'!$G$1:$J$1)))</f>
        <v>1</v>
      </c>
      <c r="V38" s="125" cm="1">
        <f t="array" ref="V38">IF($F38&lt;=5,1,INDEX('System Load'!$G$4:$J$35,_xlfn.XLOOKUP('Renewable Dispatch'!V$3,'System Load'!$C$4:$C$35,'System Load'!$A$4:$A$35),_xlfn.XLOOKUP($F38,'System Load'!$G$2:$J$2,'System Load'!$G$1:$J$1)))</f>
        <v>0.7911693577328841</v>
      </c>
      <c r="W38" s="125" cm="1">
        <f t="array" ref="W38">IF($F38&lt;=5,1,INDEX('System Load'!$G$4:$J$35,_xlfn.XLOOKUP('Renewable Dispatch'!W$3,'System Load'!$C$4:$C$35,'System Load'!$A$4:$A$35),_xlfn.XLOOKUP($F38,'System Load'!$G$2:$J$2,'System Load'!$G$1:$J$1)))</f>
        <v>0.23501107097533397</v>
      </c>
      <c r="X38" s="132"/>
      <c r="Y38" s="140"/>
      <c r="Z38" s="140"/>
      <c r="AA38" s="140"/>
      <c r="AB38" s="140"/>
      <c r="AC38" s="132"/>
    </row>
    <row r="39" spans="1:29" x14ac:dyDescent="0.25">
      <c r="A39" s="152"/>
      <c r="B39" s="33">
        <v>6</v>
      </c>
      <c r="C39" s="51">
        <v>63</v>
      </c>
      <c r="D39" s="51" t="s">
        <v>21</v>
      </c>
      <c r="E39" s="51" t="str">
        <f>Portfolios!E36</f>
        <v>Hydro</v>
      </c>
      <c r="F39" s="51">
        <f>_xlfn.XLOOKUP(E39,'System Load'!$P$7:$P$15,'System Load'!$Q$7:$Q$15)</f>
        <v>3</v>
      </c>
      <c r="G39" s="51">
        <f>Portfolios!F36</f>
        <v>300</v>
      </c>
      <c r="H39" s="132"/>
      <c r="J39" s="122">
        <f>Bids!G38</f>
        <v>0</v>
      </c>
      <c r="K39" s="122">
        <f>Bids!I38</f>
        <v>0</v>
      </c>
      <c r="L39" s="122">
        <f>Bids!K38</f>
        <v>0</v>
      </c>
      <c r="M39" s="122">
        <f>Bids!M38</f>
        <v>0</v>
      </c>
      <c r="N39" s="132"/>
      <c r="O39" s="122">
        <f ca="1">Bids!H38+RAND()/100</f>
        <v>8.4949298787071574E-3</v>
      </c>
      <c r="P39" s="122">
        <f ca="1">Bids!J38+RAND()/100</f>
        <v>4.295933601598456E-3</v>
      </c>
      <c r="Q39" s="122">
        <f ca="1">Bids!L38+RAND()/100</f>
        <v>5.3565650309796396E-3</v>
      </c>
      <c r="R39" s="122">
        <f ca="1">Bids!N38+RAND()/100</f>
        <v>5.2181475004672651E-3</v>
      </c>
      <c r="S39" s="132"/>
      <c r="T39" s="125" cm="1">
        <f t="array" ref="T39">IF($F39&lt;=5,1,INDEX('System Load'!$G$4:$J$35,_xlfn.XLOOKUP('Renewable Dispatch'!T$3,'System Load'!$C$4:$C$35,'System Load'!$A$4:$A$35),_xlfn.XLOOKUP($F39,'System Load'!$G$2:$J$2,'System Load'!$G$1:$J$1)))</f>
        <v>1</v>
      </c>
      <c r="U39" s="125" cm="1">
        <f t="array" ref="U39">IF($F39&lt;=5,1,INDEX('System Load'!$G$4:$J$35,_xlfn.XLOOKUP('Renewable Dispatch'!U$3,'System Load'!$C$4:$C$35,'System Load'!$A$4:$A$35),_xlfn.XLOOKUP($F39,'System Load'!$G$2:$J$2,'System Load'!$G$1:$J$1)))</f>
        <v>1</v>
      </c>
      <c r="V39" s="125" cm="1">
        <f t="array" ref="V39">IF($F39&lt;=5,1,INDEX('System Load'!$G$4:$J$35,_xlfn.XLOOKUP('Renewable Dispatch'!V$3,'System Load'!$C$4:$C$35,'System Load'!$A$4:$A$35),_xlfn.XLOOKUP($F39,'System Load'!$G$2:$J$2,'System Load'!$G$1:$J$1)))</f>
        <v>1</v>
      </c>
      <c r="W39" s="125" cm="1">
        <f t="array" ref="W39">IF($F39&lt;=5,1,INDEX('System Load'!$G$4:$J$35,_xlfn.XLOOKUP('Renewable Dispatch'!W$3,'System Load'!$C$4:$C$35,'System Load'!$A$4:$A$35),_xlfn.XLOOKUP($F39,'System Load'!$G$2:$J$2,'System Load'!$G$1:$J$1)))</f>
        <v>1</v>
      </c>
      <c r="X39" s="132"/>
      <c r="Y39" s="140"/>
      <c r="Z39" s="140"/>
      <c r="AA39" s="140"/>
      <c r="AB39" s="140"/>
      <c r="AC39" s="132"/>
    </row>
    <row r="40" spans="1:29" x14ac:dyDescent="0.25">
      <c r="A40" s="152"/>
      <c r="B40" s="33">
        <v>6</v>
      </c>
      <c r="C40" s="51">
        <v>64</v>
      </c>
      <c r="D40" s="51" t="s">
        <v>21</v>
      </c>
      <c r="E40" s="51" t="str">
        <f>Portfolios!E37</f>
        <v>Hydro</v>
      </c>
      <c r="F40" s="51">
        <f>_xlfn.XLOOKUP(E40,'System Load'!$P$7:$P$15,'System Load'!$Q$7:$Q$15)</f>
        <v>3</v>
      </c>
      <c r="G40" s="51">
        <f>Portfolios!F37</f>
        <v>225</v>
      </c>
      <c r="H40" s="132"/>
      <c r="J40" s="122">
        <f>Bids!G39</f>
        <v>0</v>
      </c>
      <c r="K40" s="122">
        <f>Bids!I39</f>
        <v>0</v>
      </c>
      <c r="L40" s="122">
        <f>Bids!K39</f>
        <v>0</v>
      </c>
      <c r="M40" s="122">
        <f>Bids!M39</f>
        <v>0</v>
      </c>
      <c r="N40" s="132"/>
      <c r="O40" s="122">
        <f ca="1">Bids!H39+RAND()/100</f>
        <v>4.4273714232261037E-3</v>
      </c>
      <c r="P40" s="122">
        <f ca="1">Bids!J39+RAND()/100</f>
        <v>8.1260166157725196E-3</v>
      </c>
      <c r="Q40" s="122">
        <f ca="1">Bids!L39+RAND()/100</f>
        <v>7.517026191938155E-3</v>
      </c>
      <c r="R40" s="122">
        <f ca="1">Bids!N39+RAND()/100</f>
        <v>8.7135919778412157E-3</v>
      </c>
      <c r="S40" s="132"/>
      <c r="T40" s="125" cm="1">
        <f t="array" ref="T40">IF($F40&lt;=5,1,INDEX('System Load'!$G$4:$J$35,_xlfn.XLOOKUP('Renewable Dispatch'!T$3,'System Load'!$C$4:$C$35,'System Load'!$A$4:$A$35),_xlfn.XLOOKUP($F40,'System Load'!$G$2:$J$2,'System Load'!$G$1:$J$1)))</f>
        <v>1</v>
      </c>
      <c r="U40" s="125" cm="1">
        <f t="array" ref="U40">IF($F40&lt;=5,1,INDEX('System Load'!$G$4:$J$35,_xlfn.XLOOKUP('Renewable Dispatch'!U$3,'System Load'!$C$4:$C$35,'System Load'!$A$4:$A$35),_xlfn.XLOOKUP($F40,'System Load'!$G$2:$J$2,'System Load'!$G$1:$J$1)))</f>
        <v>1</v>
      </c>
      <c r="V40" s="125" cm="1">
        <f t="array" ref="V40">IF($F40&lt;=5,1,INDEX('System Load'!$G$4:$J$35,_xlfn.XLOOKUP('Renewable Dispatch'!V$3,'System Load'!$C$4:$C$35,'System Load'!$A$4:$A$35),_xlfn.XLOOKUP($F40,'System Load'!$G$2:$J$2,'System Load'!$G$1:$J$1)))</f>
        <v>1</v>
      </c>
      <c r="W40" s="125" cm="1">
        <f t="array" ref="W40">IF($F40&lt;=5,1,INDEX('System Load'!$G$4:$J$35,_xlfn.XLOOKUP('Renewable Dispatch'!W$3,'System Load'!$C$4:$C$35,'System Load'!$A$4:$A$35),_xlfn.XLOOKUP($F40,'System Load'!$G$2:$J$2,'System Load'!$G$1:$J$1)))</f>
        <v>1</v>
      </c>
      <c r="X40" s="132"/>
      <c r="Y40" s="140"/>
      <c r="Z40" s="140"/>
      <c r="AA40" s="140"/>
      <c r="AB40" s="140"/>
      <c r="AC40" s="132"/>
    </row>
    <row r="41" spans="1:29" x14ac:dyDescent="0.25">
      <c r="A41" s="152"/>
      <c r="B41" s="33">
        <v>6</v>
      </c>
      <c r="C41" s="51">
        <v>65</v>
      </c>
      <c r="D41" s="51" t="s">
        <v>21</v>
      </c>
      <c r="E41" s="51" t="str">
        <f>Portfolios!E38</f>
        <v>Natural Gas</v>
      </c>
      <c r="F41" s="51">
        <f>_xlfn.XLOOKUP(E41,'System Load'!$P$7:$P$15,'System Load'!$Q$7:$Q$15)</f>
        <v>4</v>
      </c>
      <c r="G41" s="51">
        <f>Portfolios!F38</f>
        <v>650</v>
      </c>
      <c r="H41" s="132"/>
      <c r="J41" s="122">
        <f>Bids!G40</f>
        <v>0</v>
      </c>
      <c r="K41" s="122">
        <f>Bids!I40</f>
        <v>0</v>
      </c>
      <c r="L41" s="122">
        <f>Bids!K40</f>
        <v>0</v>
      </c>
      <c r="M41" s="122">
        <f>Bids!M40</f>
        <v>0</v>
      </c>
      <c r="N41" s="132"/>
      <c r="O41" s="122">
        <f ca="1">Bids!H40+RAND()/100</f>
        <v>1.6874226967656947E-5</v>
      </c>
      <c r="P41" s="122">
        <f ca="1">Bids!J40+RAND()/100</f>
        <v>2.2340494096828732E-3</v>
      </c>
      <c r="Q41" s="122">
        <f ca="1">Bids!L40+RAND()/100</f>
        <v>5.6642603066385023E-4</v>
      </c>
      <c r="R41" s="122">
        <f ca="1">Bids!N40+RAND()/100</f>
        <v>9.8350435455691106E-3</v>
      </c>
      <c r="S41" s="132"/>
      <c r="T41" s="125" cm="1">
        <f t="array" ref="T41">IF($F41&lt;=5,1,INDEX('System Load'!$G$4:$J$35,_xlfn.XLOOKUP('Renewable Dispatch'!T$3,'System Load'!$C$4:$C$35,'System Load'!$A$4:$A$35),_xlfn.XLOOKUP($F41,'System Load'!$G$2:$J$2,'System Load'!$G$1:$J$1)))</f>
        <v>1</v>
      </c>
      <c r="U41" s="125" cm="1">
        <f t="array" ref="U41">IF($F41&lt;=5,1,INDEX('System Load'!$G$4:$J$35,_xlfn.XLOOKUP('Renewable Dispatch'!U$3,'System Load'!$C$4:$C$35,'System Load'!$A$4:$A$35),_xlfn.XLOOKUP($F41,'System Load'!$G$2:$J$2,'System Load'!$G$1:$J$1)))</f>
        <v>1</v>
      </c>
      <c r="V41" s="125" cm="1">
        <f t="array" ref="V41">IF($F41&lt;=5,1,INDEX('System Load'!$G$4:$J$35,_xlfn.XLOOKUP('Renewable Dispatch'!V$3,'System Load'!$C$4:$C$35,'System Load'!$A$4:$A$35),_xlfn.XLOOKUP($F41,'System Load'!$G$2:$J$2,'System Load'!$G$1:$J$1)))</f>
        <v>1</v>
      </c>
      <c r="W41" s="125" cm="1">
        <f t="array" ref="W41">IF($F41&lt;=5,1,INDEX('System Load'!$G$4:$J$35,_xlfn.XLOOKUP('Renewable Dispatch'!W$3,'System Load'!$C$4:$C$35,'System Load'!$A$4:$A$35),_xlfn.XLOOKUP($F41,'System Load'!$G$2:$J$2,'System Load'!$G$1:$J$1)))</f>
        <v>1</v>
      </c>
      <c r="X41" s="132"/>
      <c r="Y41" s="140"/>
      <c r="Z41" s="140"/>
      <c r="AA41" s="140"/>
      <c r="AB41" s="140"/>
      <c r="AC41" s="132"/>
    </row>
    <row r="42" spans="1:29" x14ac:dyDescent="0.25">
      <c r="A42" s="152"/>
      <c r="B42" s="35">
        <v>6</v>
      </c>
      <c r="C42" s="52">
        <v>66</v>
      </c>
      <c r="D42" s="52" t="s">
        <v>21</v>
      </c>
      <c r="E42" s="52" t="str">
        <f>Portfolios!E39</f>
        <v>Natural Gas</v>
      </c>
      <c r="F42" s="52">
        <f>_xlfn.XLOOKUP(E42,'System Load'!$P$7:$P$15,'System Load'!$Q$7:$Q$15)</f>
        <v>4</v>
      </c>
      <c r="G42" s="52">
        <f>Portfolios!F39</f>
        <v>550</v>
      </c>
      <c r="H42" s="132"/>
      <c r="J42" s="122">
        <f>Bids!G41</f>
        <v>0</v>
      </c>
      <c r="K42" s="122">
        <f>Bids!I41</f>
        <v>0</v>
      </c>
      <c r="L42" s="122">
        <f>Bids!K41</f>
        <v>0</v>
      </c>
      <c r="M42" s="122">
        <f>Bids!M41</f>
        <v>0</v>
      </c>
      <c r="N42" s="132"/>
      <c r="O42" s="122">
        <f ca="1">Bids!H41+RAND()/100</f>
        <v>6.638383909534357E-3</v>
      </c>
      <c r="P42" s="122">
        <f ca="1">Bids!J41+RAND()/100</f>
        <v>2.3525512405872164E-3</v>
      </c>
      <c r="Q42" s="122">
        <f ca="1">Bids!L41+RAND()/100</f>
        <v>5.0686006302447873E-3</v>
      </c>
      <c r="R42" s="122">
        <f ca="1">Bids!N41+RAND()/100</f>
        <v>6.9161062328626059E-3</v>
      </c>
      <c r="S42" s="132"/>
      <c r="T42" s="125" cm="1">
        <f t="array" ref="T42">IF($F42&lt;=5,1,INDEX('System Load'!$G$4:$J$35,_xlfn.XLOOKUP('Renewable Dispatch'!T$3,'System Load'!$C$4:$C$35,'System Load'!$A$4:$A$35),_xlfn.XLOOKUP($F42,'System Load'!$G$2:$J$2,'System Load'!$G$1:$J$1)))</f>
        <v>1</v>
      </c>
      <c r="U42" s="125" cm="1">
        <f t="array" ref="U42">IF($F42&lt;=5,1,INDEX('System Load'!$G$4:$J$35,_xlfn.XLOOKUP('Renewable Dispatch'!U$3,'System Load'!$C$4:$C$35,'System Load'!$A$4:$A$35),_xlfn.XLOOKUP($F42,'System Load'!$G$2:$J$2,'System Load'!$G$1:$J$1)))</f>
        <v>1</v>
      </c>
      <c r="V42" s="125" cm="1">
        <f t="array" ref="V42">IF($F42&lt;=5,1,INDEX('System Load'!$G$4:$J$35,_xlfn.XLOOKUP('Renewable Dispatch'!V$3,'System Load'!$C$4:$C$35,'System Load'!$A$4:$A$35),_xlfn.XLOOKUP($F42,'System Load'!$G$2:$J$2,'System Load'!$G$1:$J$1)))</f>
        <v>1</v>
      </c>
      <c r="W42" s="125" cm="1">
        <f t="array" ref="W42">IF($F42&lt;=5,1,INDEX('System Load'!$G$4:$J$35,_xlfn.XLOOKUP('Renewable Dispatch'!W$3,'System Load'!$C$4:$C$35,'System Load'!$A$4:$A$35),_xlfn.XLOOKUP($F42,'System Load'!$G$2:$J$2,'System Load'!$G$1:$J$1)))</f>
        <v>1</v>
      </c>
      <c r="X42" s="132"/>
      <c r="Y42" s="140"/>
      <c r="Z42" s="140"/>
      <c r="AA42" s="140"/>
      <c r="AB42" s="140"/>
      <c r="AC42" s="132"/>
    </row>
    <row r="43" spans="1:29" x14ac:dyDescent="0.25">
      <c r="A43" s="145" t="s">
        <v>19</v>
      </c>
      <c r="B43" s="29">
        <v>7</v>
      </c>
      <c r="C43" s="53">
        <v>71</v>
      </c>
      <c r="D43" s="53" t="s">
        <v>21</v>
      </c>
      <c r="E43" s="53" t="str">
        <f>Portfolios!E40</f>
        <v>Coal</v>
      </c>
      <c r="F43" s="53">
        <f>_xlfn.XLOOKUP(E43,'System Load'!$P$7:$P$15,'System Load'!$Q$7:$Q$15)</f>
        <v>1</v>
      </c>
      <c r="G43" s="53">
        <f>Portfolios!F40</f>
        <v>1625</v>
      </c>
      <c r="H43" s="132"/>
      <c r="J43" s="122">
        <f>Bids!G42</f>
        <v>0</v>
      </c>
      <c r="K43" s="122">
        <f>Bids!I42</f>
        <v>0</v>
      </c>
      <c r="L43" s="122">
        <f>Bids!K42</f>
        <v>0</v>
      </c>
      <c r="M43" s="122">
        <f>Bids!M42</f>
        <v>0</v>
      </c>
      <c r="N43" s="132"/>
      <c r="O43" s="122">
        <f ca="1">Bids!H42+RAND()/100</f>
        <v>5.3303341793472401E-3</v>
      </c>
      <c r="P43" s="122">
        <f ca="1">Bids!J42+RAND()/100</f>
        <v>1.584880866063929E-3</v>
      </c>
      <c r="Q43" s="122">
        <f ca="1">Bids!L42+RAND()/100</f>
        <v>4.682412620576659E-3</v>
      </c>
      <c r="R43" s="122">
        <f ca="1">Bids!N42+RAND()/100</f>
        <v>4.4748527738444309E-3</v>
      </c>
      <c r="S43" s="132"/>
      <c r="T43" s="125" cm="1">
        <f t="array" ref="T43">IF($F43&lt;=5,1,INDEX('System Load'!$G$4:$J$35,_xlfn.XLOOKUP('Renewable Dispatch'!T$3,'System Load'!$C$4:$C$35,'System Load'!$A$4:$A$35),_xlfn.XLOOKUP($F43,'System Load'!$G$2:$J$2,'System Load'!$G$1:$J$1)))</f>
        <v>1</v>
      </c>
      <c r="U43" s="125" cm="1">
        <f t="array" ref="U43">IF($F43&lt;=5,1,INDEX('System Load'!$G$4:$J$35,_xlfn.XLOOKUP('Renewable Dispatch'!U$3,'System Load'!$C$4:$C$35,'System Load'!$A$4:$A$35),_xlfn.XLOOKUP($F43,'System Load'!$G$2:$J$2,'System Load'!$G$1:$J$1)))</f>
        <v>1</v>
      </c>
      <c r="V43" s="125" cm="1">
        <f t="array" ref="V43">IF($F43&lt;=5,1,INDEX('System Load'!$G$4:$J$35,_xlfn.XLOOKUP('Renewable Dispatch'!V$3,'System Load'!$C$4:$C$35,'System Load'!$A$4:$A$35),_xlfn.XLOOKUP($F43,'System Load'!$G$2:$J$2,'System Load'!$G$1:$J$1)))</f>
        <v>1</v>
      </c>
      <c r="W43" s="125" cm="1">
        <f t="array" ref="W43">IF($F43&lt;=5,1,INDEX('System Load'!$G$4:$J$35,_xlfn.XLOOKUP('Renewable Dispatch'!W$3,'System Load'!$C$4:$C$35,'System Load'!$A$4:$A$35),_xlfn.XLOOKUP($F43,'System Load'!$G$2:$J$2,'System Load'!$G$1:$J$1)))</f>
        <v>1</v>
      </c>
      <c r="X43" s="132"/>
      <c r="Y43" s="140"/>
      <c r="Z43" s="140"/>
      <c r="AA43" s="140"/>
      <c r="AB43" s="140"/>
      <c r="AC43" s="132"/>
    </row>
    <row r="44" spans="1:29" x14ac:dyDescent="0.25">
      <c r="A44" s="145"/>
      <c r="B44" s="29">
        <v>7</v>
      </c>
      <c r="C44" s="53">
        <v>72</v>
      </c>
      <c r="D44" s="53" t="s">
        <v>21</v>
      </c>
      <c r="E44" s="53" t="str">
        <f>Portfolios!E41</f>
        <v>Coal</v>
      </c>
      <c r="F44" s="53">
        <f>_xlfn.XLOOKUP(E44,'System Load'!$P$7:$P$15,'System Load'!$Q$7:$Q$15)</f>
        <v>1</v>
      </c>
      <c r="G44" s="53">
        <f>Portfolios!F41</f>
        <v>1625</v>
      </c>
      <c r="H44" s="132"/>
      <c r="J44" s="122">
        <f>Bids!G43</f>
        <v>0</v>
      </c>
      <c r="K44" s="122">
        <f>Bids!I43</f>
        <v>0</v>
      </c>
      <c r="L44" s="122">
        <f>Bids!K43</f>
        <v>0</v>
      </c>
      <c r="M44" s="122">
        <f>Bids!M43</f>
        <v>0</v>
      </c>
      <c r="N44" s="132"/>
      <c r="O44" s="122">
        <f ca="1">Bids!H43+RAND()/100</f>
        <v>5.3969467333447553E-3</v>
      </c>
      <c r="P44" s="122">
        <f ca="1">Bids!J43+RAND()/100</f>
        <v>1.6602522512358165E-4</v>
      </c>
      <c r="Q44" s="122">
        <f ca="1">Bids!L43+RAND()/100</f>
        <v>9.8061567384731922E-3</v>
      </c>
      <c r="R44" s="122">
        <f ca="1">Bids!N43+RAND()/100</f>
        <v>7.7275438804301532E-3</v>
      </c>
      <c r="S44" s="132"/>
      <c r="T44" s="125" cm="1">
        <f t="array" ref="T44">IF($F44&lt;=5,1,INDEX('System Load'!$G$4:$J$35,_xlfn.XLOOKUP('Renewable Dispatch'!T$3,'System Load'!$C$4:$C$35,'System Load'!$A$4:$A$35),_xlfn.XLOOKUP($F44,'System Load'!$G$2:$J$2,'System Load'!$G$1:$J$1)))</f>
        <v>1</v>
      </c>
      <c r="U44" s="125" cm="1">
        <f t="array" ref="U44">IF($F44&lt;=5,1,INDEX('System Load'!$G$4:$J$35,_xlfn.XLOOKUP('Renewable Dispatch'!U$3,'System Load'!$C$4:$C$35,'System Load'!$A$4:$A$35),_xlfn.XLOOKUP($F44,'System Load'!$G$2:$J$2,'System Load'!$G$1:$J$1)))</f>
        <v>1</v>
      </c>
      <c r="V44" s="125" cm="1">
        <f t="array" ref="V44">IF($F44&lt;=5,1,INDEX('System Load'!$G$4:$J$35,_xlfn.XLOOKUP('Renewable Dispatch'!V$3,'System Load'!$C$4:$C$35,'System Load'!$A$4:$A$35),_xlfn.XLOOKUP($F44,'System Load'!$G$2:$J$2,'System Load'!$G$1:$J$1)))</f>
        <v>1</v>
      </c>
      <c r="W44" s="125" cm="1">
        <f t="array" ref="W44">IF($F44&lt;=5,1,INDEX('System Load'!$G$4:$J$35,_xlfn.XLOOKUP('Renewable Dispatch'!W$3,'System Load'!$C$4:$C$35,'System Load'!$A$4:$A$35),_xlfn.XLOOKUP($F44,'System Load'!$G$2:$J$2,'System Load'!$G$1:$J$1)))</f>
        <v>1</v>
      </c>
      <c r="X44" s="132"/>
      <c r="Y44" s="140"/>
      <c r="Z44" s="140"/>
      <c r="AA44" s="140"/>
      <c r="AB44" s="140"/>
      <c r="AC44" s="132"/>
    </row>
    <row r="45" spans="1:29" x14ac:dyDescent="0.25">
      <c r="A45" s="145"/>
      <c r="B45" s="29">
        <v>7</v>
      </c>
      <c r="C45" s="53">
        <v>73</v>
      </c>
      <c r="D45" s="53" t="s">
        <v>21</v>
      </c>
      <c r="E45" s="53" t="str">
        <f>Portfolios!E42</f>
        <v>Onshore Wind</v>
      </c>
      <c r="F45" s="53">
        <f>_xlfn.XLOOKUP(E45,'System Load'!$P$7:$P$15,'System Load'!$Q$7:$Q$15)</f>
        <v>7</v>
      </c>
      <c r="G45" s="53">
        <f>Portfolios!F42</f>
        <v>450</v>
      </c>
      <c r="H45" s="132"/>
      <c r="J45" s="122">
        <f>Bids!G44</f>
        <v>0</v>
      </c>
      <c r="K45" s="122">
        <f>Bids!I44</f>
        <v>0</v>
      </c>
      <c r="L45" s="122">
        <f>Bids!K44</f>
        <v>0</v>
      </c>
      <c r="M45" s="122">
        <f>Bids!M44</f>
        <v>0</v>
      </c>
      <c r="N45" s="132"/>
      <c r="O45" s="122">
        <f ca="1">Bids!H44+RAND()/100</f>
        <v>3.0454637666638153E-3</v>
      </c>
      <c r="P45" s="122">
        <f ca="1">Bids!J44+RAND()/100</f>
        <v>6.2863574192780743E-3</v>
      </c>
      <c r="Q45" s="122">
        <f ca="1">Bids!L44+RAND()/100</f>
        <v>1.0735705673623397E-3</v>
      </c>
      <c r="R45" s="122">
        <f ca="1">Bids!N44+RAND()/100</f>
        <v>5.0632161056448789E-3</v>
      </c>
      <c r="S45" s="132"/>
      <c r="T45" s="125" cm="1">
        <f t="array" ref="T45">IF($F45&lt;=5,1,INDEX('System Load'!$G$4:$J$35,_xlfn.XLOOKUP('Renewable Dispatch'!T$3,'System Load'!$C$4:$C$35,'System Load'!$A$4:$A$35),_xlfn.XLOOKUP($F45,'System Load'!$G$2:$J$2,'System Load'!$G$1:$J$1)))</f>
        <v>5.5797367722411444E-2</v>
      </c>
      <c r="U45" s="125" cm="1">
        <f t="array" ref="U45">IF($F45&lt;=5,1,INDEX('System Load'!$G$4:$J$35,_xlfn.XLOOKUP('Renewable Dispatch'!U$3,'System Load'!$C$4:$C$35,'System Load'!$A$4:$A$35),_xlfn.XLOOKUP($F45,'System Load'!$G$2:$J$2,'System Load'!$G$1:$J$1)))</f>
        <v>0.7086320544697684</v>
      </c>
      <c r="V45" s="125" cm="1">
        <f t="array" ref="V45">IF($F45&lt;=5,1,INDEX('System Load'!$G$4:$J$35,_xlfn.XLOOKUP('Renewable Dispatch'!V$3,'System Load'!$C$4:$C$35,'System Load'!$A$4:$A$35),_xlfn.XLOOKUP($F45,'System Load'!$G$2:$J$2,'System Load'!$G$1:$J$1)))</f>
        <v>0.44947750155632576</v>
      </c>
      <c r="W45" s="125" cm="1">
        <f t="array" ref="W45">IF($F45&lt;=5,1,INDEX('System Load'!$G$4:$J$35,_xlfn.XLOOKUP('Renewable Dispatch'!W$3,'System Load'!$C$4:$C$35,'System Load'!$A$4:$A$35),_xlfn.XLOOKUP($F45,'System Load'!$G$2:$J$2,'System Load'!$G$1:$J$1)))</f>
        <v>0.11977743004956157</v>
      </c>
      <c r="X45" s="132"/>
      <c r="Y45" s="140"/>
      <c r="Z45" s="140"/>
      <c r="AA45" s="140"/>
      <c r="AB45" s="140"/>
      <c r="AC45" s="132"/>
    </row>
    <row r="46" spans="1:29" x14ac:dyDescent="0.25">
      <c r="A46" s="145"/>
      <c r="B46" s="29">
        <v>7</v>
      </c>
      <c r="C46" s="53">
        <v>74</v>
      </c>
      <c r="D46" s="53" t="s">
        <v>21</v>
      </c>
      <c r="E46" s="53" t="str">
        <f>Portfolios!E43</f>
        <v>Onshore Wind</v>
      </c>
      <c r="F46" s="53">
        <f>_xlfn.XLOOKUP(E46,'System Load'!$P$7:$P$15,'System Load'!$Q$7:$Q$15)</f>
        <v>7</v>
      </c>
      <c r="G46" s="53">
        <f>Portfolios!F43</f>
        <v>225</v>
      </c>
      <c r="H46" s="132"/>
      <c r="J46" s="122">
        <f>Bids!G45</f>
        <v>0</v>
      </c>
      <c r="K46" s="122">
        <f>Bids!I45</f>
        <v>0</v>
      </c>
      <c r="L46" s="122">
        <f>Bids!K45</f>
        <v>0</v>
      </c>
      <c r="M46" s="122">
        <f>Bids!M45</f>
        <v>0</v>
      </c>
      <c r="N46" s="132"/>
      <c r="O46" s="122">
        <f ca="1">Bids!H45+RAND()/100</f>
        <v>1.669000112261707E-3</v>
      </c>
      <c r="P46" s="122">
        <f ca="1">Bids!J45+RAND()/100</f>
        <v>8.4099392985937556E-3</v>
      </c>
      <c r="Q46" s="122">
        <f ca="1">Bids!L45+RAND()/100</f>
        <v>3.36795746037852E-3</v>
      </c>
      <c r="R46" s="122">
        <f ca="1">Bids!N45+RAND()/100</f>
        <v>3.9242459873513637E-3</v>
      </c>
      <c r="S46" s="132"/>
      <c r="T46" s="125" cm="1">
        <f t="array" ref="T46">IF($F46&lt;=5,1,INDEX('System Load'!$G$4:$J$35,_xlfn.XLOOKUP('Renewable Dispatch'!T$3,'System Load'!$C$4:$C$35,'System Load'!$A$4:$A$35),_xlfn.XLOOKUP($F46,'System Load'!$G$2:$J$2,'System Load'!$G$1:$J$1)))</f>
        <v>5.5797367722411444E-2</v>
      </c>
      <c r="U46" s="125" cm="1">
        <f t="array" ref="U46">IF($F46&lt;=5,1,INDEX('System Load'!$G$4:$J$35,_xlfn.XLOOKUP('Renewable Dispatch'!U$3,'System Load'!$C$4:$C$35,'System Load'!$A$4:$A$35),_xlfn.XLOOKUP($F46,'System Load'!$G$2:$J$2,'System Load'!$G$1:$J$1)))</f>
        <v>0.7086320544697684</v>
      </c>
      <c r="V46" s="125" cm="1">
        <f t="array" ref="V46">IF($F46&lt;=5,1,INDEX('System Load'!$G$4:$J$35,_xlfn.XLOOKUP('Renewable Dispatch'!V$3,'System Load'!$C$4:$C$35,'System Load'!$A$4:$A$35),_xlfn.XLOOKUP($F46,'System Load'!$G$2:$J$2,'System Load'!$G$1:$J$1)))</f>
        <v>0.44947750155632576</v>
      </c>
      <c r="W46" s="125" cm="1">
        <f t="array" ref="W46">IF($F46&lt;=5,1,INDEX('System Load'!$G$4:$J$35,_xlfn.XLOOKUP('Renewable Dispatch'!W$3,'System Load'!$C$4:$C$35,'System Load'!$A$4:$A$35),_xlfn.XLOOKUP($F46,'System Load'!$G$2:$J$2,'System Load'!$G$1:$J$1)))</f>
        <v>0.11977743004956157</v>
      </c>
      <c r="X46" s="132"/>
      <c r="Y46" s="140"/>
      <c r="Z46" s="140"/>
      <c r="AA46" s="140"/>
      <c r="AB46" s="140"/>
      <c r="AC46" s="132"/>
    </row>
    <row r="47" spans="1:29" x14ac:dyDescent="0.25">
      <c r="A47" s="146"/>
      <c r="B47" s="31">
        <v>7</v>
      </c>
      <c r="C47" s="54">
        <v>75</v>
      </c>
      <c r="D47" s="54" t="s">
        <v>21</v>
      </c>
      <c r="E47" s="54" t="str">
        <f>Portfolios!E44</f>
        <v>Natural Gas</v>
      </c>
      <c r="F47" s="54">
        <f>_xlfn.XLOOKUP(E47,'System Load'!$P$7:$P$15,'System Load'!$Q$7:$Q$15)</f>
        <v>4</v>
      </c>
      <c r="G47" s="54">
        <f>Portfolios!F44</f>
        <v>680</v>
      </c>
      <c r="H47" s="132"/>
      <c r="J47" s="122">
        <f>Bids!G46</f>
        <v>0</v>
      </c>
      <c r="K47" s="122">
        <f>Bids!I46</f>
        <v>0</v>
      </c>
      <c r="L47" s="122">
        <f>Bids!K46</f>
        <v>0</v>
      </c>
      <c r="M47" s="122">
        <f>Bids!M46</f>
        <v>0</v>
      </c>
      <c r="N47" s="132"/>
      <c r="O47" s="122">
        <f ca="1">Bids!H46+RAND()/100</f>
        <v>7.82795361080834E-3</v>
      </c>
      <c r="P47" s="122">
        <f ca="1">Bids!J46+RAND()/100</f>
        <v>6.8755076468296717E-3</v>
      </c>
      <c r="Q47" s="122">
        <f ca="1">Bids!L46+RAND()/100</f>
        <v>6.3144490700792304E-3</v>
      </c>
      <c r="R47" s="122">
        <f ca="1">Bids!N46+RAND()/100</f>
        <v>1.2961393309077174E-3</v>
      </c>
      <c r="S47" s="132"/>
      <c r="T47" s="125" cm="1">
        <f t="array" ref="T47">IF($F47&lt;=5,1,INDEX('System Load'!$G$4:$J$35,_xlfn.XLOOKUP('Renewable Dispatch'!T$3,'System Load'!$C$4:$C$35,'System Load'!$A$4:$A$35),_xlfn.XLOOKUP($F47,'System Load'!$G$2:$J$2,'System Load'!$G$1:$J$1)))</f>
        <v>1</v>
      </c>
      <c r="U47" s="125" cm="1">
        <f t="array" ref="U47">IF($F47&lt;=5,1,INDEX('System Load'!$G$4:$J$35,_xlfn.XLOOKUP('Renewable Dispatch'!U$3,'System Load'!$C$4:$C$35,'System Load'!$A$4:$A$35),_xlfn.XLOOKUP($F47,'System Load'!$G$2:$J$2,'System Load'!$G$1:$J$1)))</f>
        <v>1</v>
      </c>
      <c r="V47" s="125" cm="1">
        <f t="array" ref="V47">IF($F47&lt;=5,1,INDEX('System Load'!$G$4:$J$35,_xlfn.XLOOKUP('Renewable Dispatch'!V$3,'System Load'!$C$4:$C$35,'System Load'!$A$4:$A$35),_xlfn.XLOOKUP($F47,'System Load'!$G$2:$J$2,'System Load'!$G$1:$J$1)))</f>
        <v>1</v>
      </c>
      <c r="W47" s="125" cm="1">
        <f t="array" ref="W47">IF($F47&lt;=5,1,INDEX('System Load'!$G$4:$J$35,_xlfn.XLOOKUP('Renewable Dispatch'!W$3,'System Load'!$C$4:$C$35,'System Load'!$A$4:$A$35),_xlfn.XLOOKUP($F47,'System Load'!$G$2:$J$2,'System Load'!$G$1:$J$1)))</f>
        <v>1</v>
      </c>
      <c r="X47" s="132"/>
      <c r="Y47" s="140"/>
      <c r="Z47" s="140"/>
      <c r="AA47" s="140"/>
      <c r="AB47" s="140"/>
      <c r="AC47" s="132"/>
    </row>
  </sheetData>
  <mergeCells count="13">
    <mergeCell ref="T1:W1"/>
    <mergeCell ref="A37:A42"/>
    <mergeCell ref="A43:A47"/>
    <mergeCell ref="O2:R2"/>
    <mergeCell ref="T2:W2"/>
    <mergeCell ref="Y2:AB2"/>
    <mergeCell ref="J2:M2"/>
    <mergeCell ref="A5:A9"/>
    <mergeCell ref="A10:A16"/>
    <mergeCell ref="A17:A24"/>
    <mergeCell ref="A25:A31"/>
    <mergeCell ref="A32:A36"/>
    <mergeCell ref="Y5:AB5"/>
  </mergeCells>
  <pageMargins left="0.7" right="0.7" top="0.75" bottom="0.75" header="0.3" footer="0.3"/>
  <pageSetup orientation="portrait" horizontalDpi="360" verticalDpi="360" r:id="rId1"/>
  <headerFooter>
    <oddFooter>&amp;L_x000D_&amp;1#&amp;"Aptos"&amp;10&amp;K000000  PGE Internal</oddFooter>
  </headerFooter>
</worksheet>
</file>

<file path=docMetadata/LabelInfo.xml><?xml version="1.0" encoding="utf-8"?>
<clbl:labelList xmlns:clbl="http://schemas.microsoft.com/office/2020/mipLabelMetadata">
  <clbl:label id="{90e9e5aa-d387-4eb5-91f2-5e1c950a7e8b}" enabled="1" method="Privileged" siteId="{3bbabadf-0ad6-4f66-984b-4c0586a4ef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Portfolios</vt:lpstr>
      <vt:lpstr>Locations</vt:lpstr>
      <vt:lpstr>System Load</vt:lpstr>
      <vt:lpstr>Bids</vt:lpstr>
      <vt:lpstr>Renewable 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Beil</dc:creator>
  <cp:lastModifiedBy>Ian Beil - Transmission</cp:lastModifiedBy>
  <cp:lastPrinted>2021-01-24T23:45:31Z</cp:lastPrinted>
  <dcterms:created xsi:type="dcterms:W3CDTF">2015-06-05T18:17:20Z</dcterms:created>
  <dcterms:modified xsi:type="dcterms:W3CDTF">2026-04-16T21:40:29Z</dcterms:modified>
</cp:coreProperties>
</file>